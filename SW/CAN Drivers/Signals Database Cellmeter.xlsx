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unio\Documents\GitHub\CAPACIMETER\SW\CAN Drivers\"/>
    </mc:Choice>
  </mc:AlternateContent>
  <xr:revisionPtr revIDLastSave="0" documentId="13_ncr:1_{E6C5A9BA-3A13-4981-8AE2-3B823E6783C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1" sheetId="1" r:id="rId1"/>
    <sheet name="v2" sheetId="2" r:id="rId2"/>
    <sheet name="v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1" i="3" l="1"/>
  <c r="D289" i="3" s="1"/>
  <c r="D273" i="3"/>
  <c r="C254" i="3"/>
  <c r="C248" i="3"/>
  <c r="C242" i="3"/>
  <c r="C236" i="3"/>
  <c r="C230" i="3"/>
  <c r="C224" i="3"/>
  <c r="C218" i="3"/>
  <c r="C212" i="3"/>
  <c r="L255" i="3"/>
  <c r="L256" i="3" s="1"/>
  <c r="L257" i="3" s="1"/>
  <c r="L258" i="3" s="1"/>
  <c r="L259" i="3" s="1"/>
  <c r="L249" i="3"/>
  <c r="L250" i="3" s="1"/>
  <c r="L251" i="3" s="1"/>
  <c r="L252" i="3" s="1"/>
  <c r="L253" i="3" s="1"/>
  <c r="L243" i="3"/>
  <c r="L244" i="3" s="1"/>
  <c r="L245" i="3" s="1"/>
  <c r="L246" i="3" s="1"/>
  <c r="L247" i="3" s="1"/>
  <c r="L237" i="3"/>
  <c r="L238" i="3" s="1"/>
  <c r="L239" i="3" s="1"/>
  <c r="L240" i="3" s="1"/>
  <c r="L241" i="3" s="1"/>
  <c r="L231" i="3"/>
  <c r="L232" i="3" s="1"/>
  <c r="L233" i="3" s="1"/>
  <c r="L234" i="3" s="1"/>
  <c r="L235" i="3" s="1"/>
  <c r="L225" i="3"/>
  <c r="L226" i="3" s="1"/>
  <c r="L227" i="3" s="1"/>
  <c r="L228" i="3" s="1"/>
  <c r="L229" i="3" s="1"/>
  <c r="L219" i="3"/>
  <c r="L220" i="3" s="1"/>
  <c r="L221" i="3" s="1"/>
  <c r="L222" i="3" s="1"/>
  <c r="L223" i="3" s="1"/>
  <c r="L213" i="3"/>
  <c r="L214" i="3" s="1"/>
  <c r="L215" i="3" s="1"/>
  <c r="L216" i="3" s="1"/>
  <c r="L217" i="3" s="1"/>
  <c r="L322" i="3"/>
  <c r="L323" i="3" s="1"/>
  <c r="L324" i="3" s="1"/>
  <c r="L325" i="3" s="1"/>
  <c r="L326" i="3" s="1"/>
  <c r="L327" i="3" s="1"/>
  <c r="L328" i="3" s="1"/>
  <c r="L314" i="3"/>
  <c r="L315" i="3" s="1"/>
  <c r="L316" i="3" s="1"/>
  <c r="L317" i="3" s="1"/>
  <c r="L318" i="3" s="1"/>
  <c r="L319" i="3" s="1"/>
  <c r="L320" i="3" s="1"/>
  <c r="L306" i="3"/>
  <c r="L307" i="3" s="1"/>
  <c r="L308" i="3" s="1"/>
  <c r="L309" i="3" s="1"/>
  <c r="L310" i="3" s="1"/>
  <c r="L311" i="3" s="1"/>
  <c r="L312" i="3" s="1"/>
  <c r="L298" i="3"/>
  <c r="L299" i="3" s="1"/>
  <c r="L300" i="3" s="1"/>
  <c r="L301" i="3" s="1"/>
  <c r="L302" i="3" s="1"/>
  <c r="L303" i="3" s="1"/>
  <c r="L304" i="3" s="1"/>
  <c r="L290" i="3"/>
  <c r="L291" i="3" s="1"/>
  <c r="L292" i="3" s="1"/>
  <c r="L293" i="3" s="1"/>
  <c r="L294" i="3" s="1"/>
  <c r="L295" i="3" s="1"/>
  <c r="L296" i="3" s="1"/>
  <c r="L282" i="3"/>
  <c r="L283" i="3" s="1"/>
  <c r="L284" i="3" s="1"/>
  <c r="L285" i="3" s="1"/>
  <c r="L286" i="3" s="1"/>
  <c r="L287" i="3" s="1"/>
  <c r="L288" i="3" s="1"/>
  <c r="C281" i="3"/>
  <c r="L274" i="3"/>
  <c r="L275" i="3" s="1"/>
  <c r="L276" i="3" s="1"/>
  <c r="L277" i="3" s="1"/>
  <c r="L278" i="3" s="1"/>
  <c r="L279" i="3" s="1"/>
  <c r="L280" i="3" s="1"/>
  <c r="C273" i="3"/>
  <c r="L266" i="3"/>
  <c r="L267" i="3" s="1"/>
  <c r="L268" i="3" s="1"/>
  <c r="L269" i="3" s="1"/>
  <c r="L270" i="3" s="1"/>
  <c r="L271" i="3" s="1"/>
  <c r="L272" i="3" s="1"/>
  <c r="C265" i="3"/>
  <c r="L261" i="3"/>
  <c r="L262" i="3" s="1"/>
  <c r="L205" i="3"/>
  <c r="L206" i="3" s="1"/>
  <c r="L207" i="3" s="1"/>
  <c r="L208" i="3" s="1"/>
  <c r="L209" i="3" s="1"/>
  <c r="L210" i="3" s="1"/>
  <c r="L211" i="3" s="1"/>
  <c r="L197" i="3"/>
  <c r="L198" i="3" s="1"/>
  <c r="L199" i="3" s="1"/>
  <c r="L200" i="3" s="1"/>
  <c r="L201" i="3" s="1"/>
  <c r="L202" i="3" s="1"/>
  <c r="L203" i="3" s="1"/>
  <c r="L189" i="3"/>
  <c r="L190" i="3" s="1"/>
  <c r="L191" i="3" s="1"/>
  <c r="L192" i="3" s="1"/>
  <c r="L193" i="3" s="1"/>
  <c r="L194" i="3" s="1"/>
  <c r="L195" i="3" s="1"/>
  <c r="L181" i="3"/>
  <c r="L182" i="3" s="1"/>
  <c r="L183" i="3" s="1"/>
  <c r="L184" i="3" s="1"/>
  <c r="L185" i="3" s="1"/>
  <c r="L186" i="3" s="1"/>
  <c r="L187" i="3" s="1"/>
  <c r="L173" i="3"/>
  <c r="L174" i="3" s="1"/>
  <c r="L175" i="3" s="1"/>
  <c r="L176" i="3" s="1"/>
  <c r="L177" i="3" s="1"/>
  <c r="L178" i="3" s="1"/>
  <c r="L179" i="3" s="1"/>
  <c r="L165" i="3"/>
  <c r="L166" i="3" s="1"/>
  <c r="L167" i="3" s="1"/>
  <c r="L168" i="3" s="1"/>
  <c r="L169" i="3" s="1"/>
  <c r="L170" i="3" s="1"/>
  <c r="L171" i="3" s="1"/>
  <c r="L157" i="3"/>
  <c r="L158" i="3" s="1"/>
  <c r="L159" i="3" s="1"/>
  <c r="L160" i="3" s="1"/>
  <c r="L161" i="3" s="1"/>
  <c r="L162" i="3" s="1"/>
  <c r="L163" i="3" s="1"/>
  <c r="L149" i="3"/>
  <c r="L150" i="3" s="1"/>
  <c r="L151" i="3" s="1"/>
  <c r="L152" i="3" s="1"/>
  <c r="L153" i="3" s="1"/>
  <c r="L154" i="3" s="1"/>
  <c r="L155" i="3" s="1"/>
  <c r="L146" i="3"/>
  <c r="L147" i="3" s="1"/>
  <c r="L143" i="3"/>
  <c r="L144" i="3" s="1"/>
  <c r="L140" i="3"/>
  <c r="L141" i="3" s="1"/>
  <c r="L137" i="3"/>
  <c r="L138" i="3" s="1"/>
  <c r="L132" i="3"/>
  <c r="L133" i="3" s="1"/>
  <c r="L134" i="3" s="1"/>
  <c r="L128" i="3"/>
  <c r="L129" i="3" s="1"/>
  <c r="L130" i="3" s="1"/>
  <c r="L124" i="3"/>
  <c r="L125" i="3" s="1"/>
  <c r="L126" i="3" s="1"/>
  <c r="L120" i="3"/>
  <c r="L121" i="3" s="1"/>
  <c r="L122" i="3" s="1"/>
  <c r="L116" i="3"/>
  <c r="L117" i="3" s="1"/>
  <c r="L118" i="3" s="1"/>
  <c r="L112" i="3"/>
  <c r="L113" i="3" s="1"/>
  <c r="L114" i="3" s="1"/>
  <c r="L108" i="3"/>
  <c r="L109" i="3" s="1"/>
  <c r="L110" i="3" s="1"/>
  <c r="L104" i="3"/>
  <c r="L105" i="3" s="1"/>
  <c r="L106" i="3" s="1"/>
  <c r="L99" i="3"/>
  <c r="L100" i="3" s="1"/>
  <c r="L101" i="3" s="1"/>
  <c r="L102" i="3" s="1"/>
  <c r="L87" i="3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75" i="3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63" i="3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51" i="3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39" i="3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27" i="3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C263" i="3"/>
  <c r="C260" i="3"/>
  <c r="C204" i="3"/>
  <c r="C188" i="3"/>
  <c r="C196" i="3"/>
  <c r="C180" i="3"/>
  <c r="C172" i="3"/>
  <c r="C164" i="3"/>
  <c r="C156" i="3"/>
  <c r="C148" i="3"/>
  <c r="C139" i="3"/>
  <c r="C142" i="3"/>
  <c r="C145" i="3"/>
  <c r="C136" i="3"/>
  <c r="C135" i="3"/>
  <c r="C123" i="3"/>
  <c r="C127" i="3"/>
  <c r="C131" i="3"/>
  <c r="C107" i="3"/>
  <c r="C111" i="3"/>
  <c r="C115" i="3"/>
  <c r="C119" i="3"/>
  <c r="C103" i="3"/>
  <c r="C98" i="3"/>
  <c r="C74" i="3"/>
  <c r="C50" i="3"/>
  <c r="C26" i="3"/>
  <c r="C2" i="3"/>
  <c r="D2" i="2"/>
  <c r="D90" i="2"/>
  <c r="D68" i="2"/>
  <c r="D46" i="2"/>
  <c r="D24" i="2"/>
  <c r="C289" i="3" l="1"/>
  <c r="D297" i="3"/>
  <c r="D305" i="3" l="1"/>
  <c r="C297" i="3"/>
  <c r="D313" i="3" l="1"/>
  <c r="C305" i="3"/>
  <c r="C313" i="3" l="1"/>
  <c r="D321" i="3"/>
  <c r="C321" i="3" s="1"/>
  <c r="B79" i="1"/>
  <c r="B79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<sst xmlns="http://schemas.openxmlformats.org/spreadsheetml/2006/main" count="1624" uniqueCount="559">
  <si>
    <t>Frame</t>
  </si>
  <si>
    <t>COBID</t>
  </si>
  <si>
    <t>DLC</t>
  </si>
  <si>
    <t>Tx/Rx</t>
  </si>
  <si>
    <t>Byte</t>
  </si>
  <si>
    <t>Signal</t>
  </si>
  <si>
    <t>Units</t>
  </si>
  <si>
    <t>Info</t>
  </si>
  <si>
    <t>Startbit</t>
  </si>
  <si>
    <t>Length</t>
  </si>
  <si>
    <t>Comments</t>
  </si>
  <si>
    <t>Current1_4</t>
  </si>
  <si>
    <t>0xA</t>
  </si>
  <si>
    <t>Tx</t>
  </si>
  <si>
    <t>0 - 1</t>
  </si>
  <si>
    <t>CurrentCell1</t>
  </si>
  <si>
    <t>A</t>
  </si>
  <si>
    <t>2 - 3</t>
  </si>
  <si>
    <t>CurrentCell2</t>
  </si>
  <si>
    <t>4 - 5</t>
  </si>
  <si>
    <t>CurrentCell3</t>
  </si>
  <si>
    <t>6 - 7</t>
  </si>
  <si>
    <t>CurrentCell4</t>
  </si>
  <si>
    <t>Current5_8</t>
  </si>
  <si>
    <t>0xB</t>
  </si>
  <si>
    <t>CurrentCell5</t>
  </si>
  <si>
    <t>CurrentCell6</t>
  </si>
  <si>
    <t>CurrentCell7</t>
  </si>
  <si>
    <t>CurrentCell8</t>
  </si>
  <si>
    <t>0xC</t>
  </si>
  <si>
    <t>ControlCurrent</t>
  </si>
  <si>
    <t>0xD</t>
  </si>
  <si>
    <t>EntranceCurrent</t>
  </si>
  <si>
    <t>MicroCurrent</t>
  </si>
  <si>
    <t>RefriCurrent</t>
  </si>
  <si>
    <t>Voltage1_4</t>
  </si>
  <si>
    <t>0x14</t>
  </si>
  <si>
    <t>VoltageCell1</t>
  </si>
  <si>
    <t>V</t>
  </si>
  <si>
    <t>[2.8 - 4.2]</t>
  </si>
  <si>
    <t>VoltageCell2</t>
  </si>
  <si>
    <t>VoltageCell3</t>
  </si>
  <si>
    <t>VoltageCell4</t>
  </si>
  <si>
    <t>Voltage5_8</t>
  </si>
  <si>
    <t>0x15</t>
  </si>
  <si>
    <t>VoltageCell5</t>
  </si>
  <si>
    <t>VoltageCell6</t>
  </si>
  <si>
    <t>VoltageCell7</t>
  </si>
  <si>
    <t>VoltageCell8</t>
  </si>
  <si>
    <t>Temperatures</t>
  </si>
  <si>
    <t>0x1E</t>
  </si>
  <si>
    <t>TemperatureCell1</t>
  </si>
  <si>
    <t>º</t>
  </si>
  <si>
    <t>TemperatureCell2</t>
  </si>
  <si>
    <t>TemperatureCell3</t>
  </si>
  <si>
    <t>TemperatureCell4</t>
  </si>
  <si>
    <t>TemperatureCell5</t>
  </si>
  <si>
    <t>TemperatureCell6</t>
  </si>
  <si>
    <t>TemperatureCell7</t>
  </si>
  <si>
    <t>TemperatureCell8</t>
  </si>
  <si>
    <t>DischargeRTemp</t>
  </si>
  <si>
    <t>0x1F</t>
  </si>
  <si>
    <t>DischargeResistance1</t>
  </si>
  <si>
    <t>DischargeResistance2</t>
  </si>
  <si>
    <t>DischargeResistance3</t>
  </si>
  <si>
    <t>DischargeResistance4</t>
  </si>
  <si>
    <t>DischargeResistance5</t>
  </si>
  <si>
    <t>DischargeResistance6</t>
  </si>
  <si>
    <t>DischargeResistance7</t>
  </si>
  <si>
    <t>DischargeResistance8</t>
  </si>
  <si>
    <t>RPMRefri</t>
  </si>
  <si>
    <t>0x28</t>
  </si>
  <si>
    <t>RPMFan1</t>
  </si>
  <si>
    <t>rpm</t>
  </si>
  <si>
    <t>RPMFan2</t>
  </si>
  <si>
    <t>CellsState</t>
  </si>
  <si>
    <t>0x29</t>
  </si>
  <si>
    <t>Rx</t>
  </si>
  <si>
    <t>CellState_1</t>
  </si>
  <si>
    <t>[0, 1, 2, 3]</t>
  </si>
  <si>
    <t>CellState_2</t>
  </si>
  <si>
    <t>CellState_3</t>
  </si>
  <si>
    <t>CellState_4</t>
  </si>
  <si>
    <t>CellState_5</t>
  </si>
  <si>
    <t>CellState_6</t>
  </si>
  <si>
    <t>CellState_7</t>
  </si>
  <si>
    <t>CellState_8</t>
  </si>
  <si>
    <t>CellDisconnect</t>
  </si>
  <si>
    <t>0x2A</t>
  </si>
  <si>
    <t>bit</t>
  </si>
  <si>
    <t>[0, 1]</t>
  </si>
  <si>
    <t xml:space="preserve">El micro manda este bit para comunicar si detecta alguna celda desconectada --&gt; testeo </t>
  </si>
  <si>
    <t>CellErrors</t>
  </si>
  <si>
    <t>0x2B</t>
  </si>
  <si>
    <t>CellOvervoltage</t>
  </si>
  <si>
    <t>Cada bit representa una celda. Si hay error de Overvoltage cambia de 0 a 1.</t>
  </si>
  <si>
    <t>CellOvercurrent</t>
  </si>
  <si>
    <t>Cada bit representa una celda. Si hay error de Overcurrent cambia de 0 a 1.</t>
  </si>
  <si>
    <t>CellOvertemperature</t>
  </si>
  <si>
    <t>Cada bit representa una celda. Si hay error de Overtemperature cambia de 0 a 1.</t>
  </si>
  <si>
    <t>New?</t>
  </si>
  <si>
    <t>X</t>
  </si>
  <si>
    <t>CellUndervoltage</t>
  </si>
  <si>
    <t>CellUndercurrent</t>
  </si>
  <si>
    <t>CellUndertemperature</t>
  </si>
  <si>
    <t>RefriState</t>
  </si>
  <si>
    <t>TimerCell1</t>
  </si>
  <si>
    <t>TimerCell2</t>
  </si>
  <si>
    <t>TimerCell3</t>
  </si>
  <si>
    <t>TimerCell4</t>
  </si>
  <si>
    <t>TimerCell5</t>
  </si>
  <si>
    <t>TimerCell6</t>
  </si>
  <si>
    <t>TimerCell7</t>
  </si>
  <si>
    <t>TimerCell8</t>
  </si>
  <si>
    <t>TimerCell</t>
  </si>
  <si>
    <t>s</t>
  </si>
  <si>
    <t>0xE</t>
  </si>
  <si>
    <t>0xF</t>
  </si>
  <si>
    <t>0x5</t>
  </si>
  <si>
    <t>Cada bit representa una celda. Si hay error de Undervoltage cambia de 0 a 1.</t>
  </si>
  <si>
    <t>Cada bit representa una celda. Si hay error de Undercurrent cambia de 0 a 1.</t>
  </si>
  <si>
    <t>Cada bit representa una celda. Si hay error de Undertemperature cambia de 0 a 1.</t>
  </si>
  <si>
    <t>SetChargeCurrentCell1</t>
  </si>
  <si>
    <t>SetChargeCurrentCell2</t>
  </si>
  <si>
    <t>SetChargeCurrentCell3</t>
  </si>
  <si>
    <t>SetChargeCurrentCell4</t>
  </si>
  <si>
    <t>SetChargeCurrentCell5</t>
  </si>
  <si>
    <t>SetChargeCurrentCell6</t>
  </si>
  <si>
    <t>SetChargeCurrentCell7</t>
  </si>
  <si>
    <t>SetChargeCurrentCell8</t>
  </si>
  <si>
    <t>SetDischargeCurrentCell1</t>
  </si>
  <si>
    <t>SetDischargeCurrentCell2</t>
  </si>
  <si>
    <t>SetDischargeCurrentCell3</t>
  </si>
  <si>
    <t>SetDischargeCurrentCell4</t>
  </si>
  <si>
    <t>SetDischargeCurrentCell5</t>
  </si>
  <si>
    <t>SetDischargeCurrentCell6</t>
  </si>
  <si>
    <t>SetDischargeCurrentCell7</t>
  </si>
  <si>
    <t>SetDischargeCurrentCell8</t>
  </si>
  <si>
    <t>SetChargeCurrent1_4</t>
  </si>
  <si>
    <t>SetChargeCurrent5_8</t>
  </si>
  <si>
    <t>SetDischargeCurrent1_4</t>
  </si>
  <si>
    <t>SetDischargeCurrent5_8</t>
  </si>
  <si>
    <t>0x10</t>
  </si>
  <si>
    <t>0x11</t>
  </si>
  <si>
    <t>COBID (HEX)</t>
  </si>
  <si>
    <t>COBID (DEC)</t>
  </si>
  <si>
    <t>CANOE, MASTER</t>
  </si>
  <si>
    <t>Cell1_GeneralError</t>
  </si>
  <si>
    <t>Cell1_NTCOvertemperature</t>
  </si>
  <si>
    <t>Cell1_NTCUndertemperature</t>
  </si>
  <si>
    <t>Cell1_ChargeGeneralError</t>
  </si>
  <si>
    <t>Cell1_ThermalShutdown</t>
  </si>
  <si>
    <t>Cell1_WatchdogError</t>
  </si>
  <si>
    <t>Cell1_DischargeGeneralError</t>
  </si>
  <si>
    <t>Cell1_OvercurrentRequested</t>
  </si>
  <si>
    <t>Cell1_ROvertemperature</t>
  </si>
  <si>
    <t>Cell1_Overcurrent</t>
  </si>
  <si>
    <t>Cell1_Undercurrent</t>
  </si>
  <si>
    <t>Cell2_NTCUndertemperature</t>
  </si>
  <si>
    <t>Cell2_ChargeGeneralError</t>
  </si>
  <si>
    <t>Cell2_ThermalShutdown</t>
  </si>
  <si>
    <t>Cell2_WatchdogError</t>
  </si>
  <si>
    <t>Cell2_DischargeGeneralError</t>
  </si>
  <si>
    <t>Cell2_OvercurrentRequested</t>
  </si>
  <si>
    <t>Cell2_ROvertemperature</t>
  </si>
  <si>
    <t>Cell2_Overcurrent</t>
  </si>
  <si>
    <t>Cell2_Undercurrent</t>
  </si>
  <si>
    <t>Cell2_NTCOvertemperature</t>
  </si>
  <si>
    <t>Cell2_GeneralError</t>
  </si>
  <si>
    <t>[bit]</t>
  </si>
  <si>
    <t>Cell3_GeneralError</t>
  </si>
  <si>
    <t>Cell3_NTCOvertemperature</t>
  </si>
  <si>
    <t>Cell3_NTCUndertemperature</t>
  </si>
  <si>
    <t>Cell3_ChargeGeneralError</t>
  </si>
  <si>
    <t>Cell3_ThermalShutdown</t>
  </si>
  <si>
    <t>Cell3_WatchdogError</t>
  </si>
  <si>
    <t>Cell3_DischargeGeneralError</t>
  </si>
  <si>
    <t>Cell3_OvercurrentRequested</t>
  </si>
  <si>
    <t>Cell3_ROvertemperature</t>
  </si>
  <si>
    <t>Cell3_Overcurrent</t>
  </si>
  <si>
    <t>Cell3_Undercurrent</t>
  </si>
  <si>
    <t>Cell4_GeneralError</t>
  </si>
  <si>
    <t>Cell4_NTCOvertemperature</t>
  </si>
  <si>
    <t>Cell4_NTCUndertemperature</t>
  </si>
  <si>
    <t>Cell4_ChargeGeneralError</t>
  </si>
  <si>
    <t>Cell4_ThermalShutdown</t>
  </si>
  <si>
    <t>Cell4_WatchdogError</t>
  </si>
  <si>
    <t>Cell4_DischargeGeneralError</t>
  </si>
  <si>
    <t>Cell4_OvercurrentRequested</t>
  </si>
  <si>
    <t>Cell4_ROvertemperature</t>
  </si>
  <si>
    <t>Cell4_Overcurrent</t>
  </si>
  <si>
    <t>Cell4_Undercurrent</t>
  </si>
  <si>
    <t>ERROR_SLAVE2_C3C4</t>
  </si>
  <si>
    <t>ERROR_SLAVE1_C1C2</t>
  </si>
  <si>
    <t>SLAVE 1</t>
  </si>
  <si>
    <t>SLAVE 2</t>
  </si>
  <si>
    <t>Cell5_GeneralError</t>
  </si>
  <si>
    <t>Cell5_NTCOvertemperature</t>
  </si>
  <si>
    <t>Cell5_NTCUndertemperature</t>
  </si>
  <si>
    <t>Cell5_ChargeGeneralError</t>
  </si>
  <si>
    <t>Cell5_ThermalShutdown</t>
  </si>
  <si>
    <t>Cell5_WatchdogError</t>
  </si>
  <si>
    <t>Cell5_DischargeGeneralError</t>
  </si>
  <si>
    <t>Cell5_OvercurrentRequested</t>
  </si>
  <si>
    <t>Cell5_ROvertemperature</t>
  </si>
  <si>
    <t>Cell5_Overcurrent</t>
  </si>
  <si>
    <t>Cell5_Undercurrent</t>
  </si>
  <si>
    <t>Cell6_GeneralError</t>
  </si>
  <si>
    <t>Cell6_NTCOvertemperature</t>
  </si>
  <si>
    <t>Cell6_NTCUndertemperature</t>
  </si>
  <si>
    <t>Cell6_ChargeGeneralError</t>
  </si>
  <si>
    <t>Cell6_ThermalShutdown</t>
  </si>
  <si>
    <t>Cell6_WatchdogError</t>
  </si>
  <si>
    <t>Cell6_DischargeGeneralError</t>
  </si>
  <si>
    <t>Cell6_OvercurrentRequested</t>
  </si>
  <si>
    <t>Cell6_ROvertemperature</t>
  </si>
  <si>
    <t>Cell6_Overcurrent</t>
  </si>
  <si>
    <t>Cell6_Undercurrent</t>
  </si>
  <si>
    <t>Cell7_GeneralError</t>
  </si>
  <si>
    <t>Cell7_NTCOvertemperature</t>
  </si>
  <si>
    <t>Cell7_NTCUndertemperature</t>
  </si>
  <si>
    <t>Cell7_ChargeGeneralError</t>
  </si>
  <si>
    <t>Cell7_ThermalShutdown</t>
  </si>
  <si>
    <t>Cell7_WatchdogError</t>
  </si>
  <si>
    <t>Cell7_DischargeGeneralError</t>
  </si>
  <si>
    <t>Cell7_OvercurrentRequested</t>
  </si>
  <si>
    <t>Cell7_ROvertemperature</t>
  </si>
  <si>
    <t>Cell7_Overcurrent</t>
  </si>
  <si>
    <t>Cell7_Undercurrent</t>
  </si>
  <si>
    <t>Cell8_GeneralError</t>
  </si>
  <si>
    <t>Cell8_NTCOvertemperature</t>
  </si>
  <si>
    <t>Cell8_NTCUndertemperature</t>
  </si>
  <si>
    <t>Cell8_ChargeGeneralError</t>
  </si>
  <si>
    <t>Cell8_ThermalShutdown</t>
  </si>
  <si>
    <t>Cell8_WatchdogError</t>
  </si>
  <si>
    <t>Cell8_DischargeGeneralError</t>
  </si>
  <si>
    <t>Cell8_OvercurrentRequested</t>
  </si>
  <si>
    <t>Cell8_ROvertemperature</t>
  </si>
  <si>
    <t>Cell8_Overcurrent</t>
  </si>
  <si>
    <t>Cell8_Undercurrent</t>
  </si>
  <si>
    <t>ERROR_MASTER</t>
  </si>
  <si>
    <t>MASTER</t>
  </si>
  <si>
    <t>CANOE</t>
  </si>
  <si>
    <t>Master_GeneralError</t>
  </si>
  <si>
    <t>Slave_Supply1Error</t>
  </si>
  <si>
    <t>Slave_Supply2Error</t>
  </si>
  <si>
    <t>Cooling_Error1</t>
  </si>
  <si>
    <t>Cooling_Error2</t>
  </si>
  <si>
    <t>Slave1_KeepAlive</t>
  </si>
  <si>
    <t>Cell1_Timer</t>
  </si>
  <si>
    <t>Cell2_Timer</t>
  </si>
  <si>
    <t>Cell3_Timer</t>
  </si>
  <si>
    <t>Cell4_Timer</t>
  </si>
  <si>
    <t>[s]</t>
  </si>
  <si>
    <t>SLAVE 3</t>
  </si>
  <si>
    <t>SLAVE 4</t>
  </si>
  <si>
    <t>Cell5_Timer</t>
  </si>
  <si>
    <t>Cell6_Timer</t>
  </si>
  <si>
    <t>Cell7_Timer</t>
  </si>
  <si>
    <t>Cell8_Timer</t>
  </si>
  <si>
    <t>ERROR_SLAVE3_C5C6</t>
  </si>
  <si>
    <t>ERROR_SLAVE4_C7C8</t>
  </si>
  <si>
    <t>SLAVE1_C1_LECTURES</t>
  </si>
  <si>
    <t>Cell1_Voltages</t>
  </si>
  <si>
    <t>Cell1_Current</t>
  </si>
  <si>
    <t>Cell1_Temperature</t>
  </si>
  <si>
    <t>SLAVE1_C2_LECTURES</t>
  </si>
  <si>
    <t>Cell2_Voltages</t>
  </si>
  <si>
    <t>Cell2_Current</t>
  </si>
  <si>
    <t>Cell2_Temperature</t>
  </si>
  <si>
    <t>SLAVE2_C3_LECTURES</t>
  </si>
  <si>
    <t>SLAVE2_C4_LECTURES</t>
  </si>
  <si>
    <t>Cell3_Voltages</t>
  </si>
  <si>
    <t>Cell3_Current</t>
  </si>
  <si>
    <t>Cell3_Temperature</t>
  </si>
  <si>
    <t>Cell4_Voltages</t>
  </si>
  <si>
    <t>Cell4_Current</t>
  </si>
  <si>
    <t>Cell4_Temperature</t>
  </si>
  <si>
    <t>SLAVE3_C5_LECTURES</t>
  </si>
  <si>
    <t>SLAVE3_C6_LECTURES</t>
  </si>
  <si>
    <t>SLAVE4_C7_LECTURES</t>
  </si>
  <si>
    <t>SLAVE4_C8_LECTURES</t>
  </si>
  <si>
    <t>Cell5_Voltages</t>
  </si>
  <si>
    <t>Cell5_Current</t>
  </si>
  <si>
    <t>Cell5_Temperature</t>
  </si>
  <si>
    <t>Cell6_Voltages</t>
  </si>
  <si>
    <t>Cell6_Current</t>
  </si>
  <si>
    <t>Cell6_Temperature</t>
  </si>
  <si>
    <t>Cell7_Voltages</t>
  </si>
  <si>
    <t>Cell7_Current</t>
  </si>
  <si>
    <t>Cell7_Temperature</t>
  </si>
  <si>
    <t>Cell8_Voltages</t>
  </si>
  <si>
    <t>Cell8_Current</t>
  </si>
  <si>
    <t>Cell8_Temperature</t>
  </si>
  <si>
    <t>SLAVE 5</t>
  </si>
  <si>
    <t>SLAVE 6</t>
  </si>
  <si>
    <t>SLAVE 7</t>
  </si>
  <si>
    <t>SLAVE 8</t>
  </si>
  <si>
    <t>[V]</t>
  </si>
  <si>
    <t>[A]</t>
  </si>
  <si>
    <t>[ºc]</t>
  </si>
  <si>
    <t>SLAVE1_CONTROL</t>
  </si>
  <si>
    <t>Cell1_CellState</t>
  </si>
  <si>
    <t>-</t>
  </si>
  <si>
    <t>SLAVE2_CONTROL</t>
  </si>
  <si>
    <t>Slave2_KeepAlive</t>
  </si>
  <si>
    <t>Cell3_CellState</t>
  </si>
  <si>
    <t>SLAVE3_CONTROL</t>
  </si>
  <si>
    <t>Slave3_KeepAlive</t>
  </si>
  <si>
    <t>Cell5_CellState</t>
  </si>
  <si>
    <t>SLAVE4_CONTROL</t>
  </si>
  <si>
    <t>Slave4_KeepAlive</t>
  </si>
  <si>
    <t>Cell7_CellState</t>
  </si>
  <si>
    <t>Cell1_SetCurrent</t>
  </si>
  <si>
    <t>Cell2_SetCurrent</t>
  </si>
  <si>
    <t>Cell3_SetCurrent</t>
  </si>
  <si>
    <t>Cell4_SetCurrent</t>
  </si>
  <si>
    <t>Cell5_SetCurrent</t>
  </si>
  <si>
    <t>Cell6_SetCurrent</t>
  </si>
  <si>
    <t>Cell7_SetCurrent</t>
  </si>
  <si>
    <t>Cell8_SetCurrent</t>
  </si>
  <si>
    <t>Cell1_SetMinTemperature</t>
  </si>
  <si>
    <t>Cell2_SetMinTemperature</t>
  </si>
  <si>
    <t>Cell3_SetMinTemperature</t>
  </si>
  <si>
    <t>Cell4_SetMinTemperature</t>
  </si>
  <si>
    <t>Cell5_SetMinTemperature</t>
  </si>
  <si>
    <t>Cell6_SetMinTemperature</t>
  </si>
  <si>
    <t>Cell7_SetMinTemperature</t>
  </si>
  <si>
    <t>Cell8_SetMinTemperature</t>
  </si>
  <si>
    <t>Cell1_SetMaxTemperature</t>
  </si>
  <si>
    <t>Cell2_SetMaxTemperature</t>
  </si>
  <si>
    <t>Cell3_SetMaxTemperature</t>
  </si>
  <si>
    <t>Cell4_SetMaxTemperature</t>
  </si>
  <si>
    <t>Cell5_SetMaxTemperature</t>
  </si>
  <si>
    <t>Cell6_SetMaxTemperature</t>
  </si>
  <si>
    <t>Cell7_SetMaxTemperature</t>
  </si>
  <si>
    <t>Cell8_SetMaxTemperature</t>
  </si>
  <si>
    <t>Cell1_SetMinVoltage</t>
  </si>
  <si>
    <t>Cell2_SetMinVoltage</t>
  </si>
  <si>
    <t>Cell3_SetMinVoltage</t>
  </si>
  <si>
    <t>Cell4_SetMinVoltage</t>
  </si>
  <si>
    <t>Cell5_SetMinVoltage</t>
  </si>
  <si>
    <t>Cell6_SetMinVoltage</t>
  </si>
  <si>
    <t>Cell7_SetMinVoltage</t>
  </si>
  <si>
    <t>Cell8_SetMinVoltage</t>
  </si>
  <si>
    <t>Cell1_SetMaxVoltage</t>
  </si>
  <si>
    <t>Cell2_SetMaxVoltage</t>
  </si>
  <si>
    <t>Cell3_SetMaxVoltage</t>
  </si>
  <si>
    <t>Cell4_SetMaxVoltage</t>
  </si>
  <si>
    <t>Cell5_SetMaxVoltage</t>
  </si>
  <si>
    <t>Cell6_SetMaxVoltage</t>
  </si>
  <si>
    <t>Cell7_SetMaxVoltage</t>
  </si>
  <si>
    <t>Cell8_SetMaxVoltage</t>
  </si>
  <si>
    <t>0</t>
  </si>
  <si>
    <t>ALL SLAVES</t>
  </si>
  <si>
    <t>SLAVE1_CELL1_SET_ LECTURES</t>
  </si>
  <si>
    <t>SLAVE1_CELL2_SET_ LECTURES</t>
  </si>
  <si>
    <t>SLAVE2_CELL3_SET_ LECTURES</t>
  </si>
  <si>
    <t>SLAVE3_CELL5_SET_ LECTURES</t>
  </si>
  <si>
    <t>SLAVE2_CELL4_SET_ LECTURES</t>
  </si>
  <si>
    <t>SLAVE3_CELL6_SET_ LECTURES</t>
  </si>
  <si>
    <t>SLAVE4_CELL7_SET_ LECTURES</t>
  </si>
  <si>
    <t>SLAVE4_CELL8_SET_ LECTURES</t>
  </si>
  <si>
    <t>Cell1_SetCellState</t>
  </si>
  <si>
    <t>Cell2_SetCellState</t>
  </si>
  <si>
    <t>Cell3_SetCellState</t>
  </si>
  <si>
    <t>Cell4_SetCellState</t>
  </si>
  <si>
    <t>Cell5_SetCellState</t>
  </si>
  <si>
    <t>Cell6_SetCellState</t>
  </si>
  <si>
    <t>Cell7_SetCellState</t>
  </si>
  <si>
    <t>Cell8_SetCellState</t>
  </si>
  <si>
    <t>[ºC]</t>
  </si>
  <si>
    <t>Cell2_CellState</t>
  </si>
  <si>
    <t>Cell4_CellState</t>
  </si>
  <si>
    <t>Cell6_CellState</t>
  </si>
  <si>
    <t>Cell8_CellState</t>
  </si>
  <si>
    <t>MASTER_CONTROL</t>
  </si>
  <si>
    <t>Master_KeepAlive</t>
  </si>
  <si>
    <t>COOLING_SET</t>
  </si>
  <si>
    <t>COOLING_RPM</t>
  </si>
  <si>
    <t>Cooling_Fan1_RPM</t>
  </si>
  <si>
    <t>Cooling_Fan2_RPM</t>
  </si>
  <si>
    <t>1</t>
  </si>
  <si>
    <t>2</t>
  </si>
  <si>
    <t>3</t>
  </si>
  <si>
    <t>Cooling_Fan1_StateSet</t>
  </si>
  <si>
    <t>Cooling_Fan2_StateSet</t>
  </si>
  <si>
    <t>Cell1_SetCurrentDischarge</t>
  </si>
  <si>
    <t>Cell1_SetCurrentCharge</t>
  </si>
  <si>
    <t>Cell2_SetCurrentDischarge</t>
  </si>
  <si>
    <t>Cell3_SetCurrentDischarge</t>
  </si>
  <si>
    <t>Cell4_SetCurrentDischarge</t>
  </si>
  <si>
    <t>Cell5_SetCurrentDischarge</t>
  </si>
  <si>
    <t>Cell6_SetCurrentDischarge</t>
  </si>
  <si>
    <t>Cell7_SetCurrentDischarge</t>
  </si>
  <si>
    <t>Cell8_SetCurrentDischarge</t>
  </si>
  <si>
    <t>Cell2_SetCurrentCharge</t>
  </si>
  <si>
    <t>Cell3_SetCurrentCharge</t>
  </si>
  <si>
    <t>Cell4_SetCurrentCharge</t>
  </si>
  <si>
    <t>Cell5_SetCurrentCharge</t>
  </si>
  <si>
    <t>Cell6_SetCurrentCharge</t>
  </si>
  <si>
    <t>Cell7_SetCurrentCharge</t>
  </si>
  <si>
    <t>Cell8_SetCurrentCharge</t>
  </si>
  <si>
    <t>Cell1_TempTransistor</t>
  </si>
  <si>
    <t>Cell2_TempTransistor</t>
  </si>
  <si>
    <t>Cell3_TempTransistor</t>
  </si>
  <si>
    <t>Cell4_TempTransistor</t>
  </si>
  <si>
    <t>Cell5_TempTransistor</t>
  </si>
  <si>
    <t>Cell6_TempTransistor</t>
  </si>
  <si>
    <t>Cell7_TempTransistor</t>
  </si>
  <si>
    <t>Cell8_TempTransistor</t>
  </si>
  <si>
    <t>Cell1_TemperatureDischargeSystem</t>
  </si>
  <si>
    <t>Cell2_TemperatureDischargeSystem</t>
  </si>
  <si>
    <t>Cell3_TemperatureDischargeSystem</t>
  </si>
  <si>
    <t>Cell4_TemperatureDischargeSystem</t>
  </si>
  <si>
    <t>Cell5_TemperatureDischargeSystem</t>
  </si>
  <si>
    <t>Cell6_TemperatureDischargeSystem</t>
  </si>
  <si>
    <t>Cell7_TemperatureDischargeSystem</t>
  </si>
  <si>
    <t>Cell8_TemperatureDischargeSystem</t>
  </si>
  <si>
    <t>MASTER_SET</t>
  </si>
  <si>
    <t>Cooling_SetInternalTemp</t>
  </si>
  <si>
    <t>[rpm]</t>
  </si>
  <si>
    <t>Cell1_ResendCurrentDischarge</t>
  </si>
  <si>
    <t>Cell1_ResendCurrentCharge</t>
  </si>
  <si>
    <t>Cell1_ResendMaxTemperature</t>
  </si>
  <si>
    <t>Cell1_ResendMinVoltage</t>
  </si>
  <si>
    <t>Cell1_ResendMaxVoltage</t>
  </si>
  <si>
    <t>Cell1_ResendCellState</t>
  </si>
  <si>
    <t>Cell2_ResendCurrentDischarge</t>
  </si>
  <si>
    <t>Cell2_ResendCurrentCharge</t>
  </si>
  <si>
    <t>Cell2_ResendMaxTemperature</t>
  </si>
  <si>
    <t>Cell2_ResendMinVoltage</t>
  </si>
  <si>
    <t>Cell2_ResendMaxVoltage</t>
  </si>
  <si>
    <t>Cell2_ResendCellState</t>
  </si>
  <si>
    <t>Cell3_ResendCurrentDischarge</t>
  </si>
  <si>
    <t>Cell3_ResendCurrentCharge</t>
  </si>
  <si>
    <t>Cell3_ResendMaxTemperature</t>
  </si>
  <si>
    <t>Cell3_ResendMinVoltage</t>
  </si>
  <si>
    <t>Cell3_ResendMaxVoltage</t>
  </si>
  <si>
    <t>Cell3_ResendCellState</t>
  </si>
  <si>
    <t>Cell4_ResendCurrentDischarge</t>
  </si>
  <si>
    <t>Cell4_ResendCurrentCharge</t>
  </si>
  <si>
    <t>Cell4_ResendMaxTemperature</t>
  </si>
  <si>
    <t>Cell4_ResendMinVoltage</t>
  </si>
  <si>
    <t>Cell4_ResendMaxVoltage</t>
  </si>
  <si>
    <t>Cell4_ResendCellState</t>
  </si>
  <si>
    <t>Cell5_ResendCurrentDischarge</t>
  </si>
  <si>
    <t>Cell5_ResendCurrentCharge</t>
  </si>
  <si>
    <t>Cell5_ResendMaxTemperature</t>
  </si>
  <si>
    <t>Cell5_ResendMinVoltage</t>
  </si>
  <si>
    <t>Cell5_ResendMaxVoltage</t>
  </si>
  <si>
    <t>Cell5_ResendCellState</t>
  </si>
  <si>
    <t>Cell6_ResendCurrentDischarge</t>
  </si>
  <si>
    <t>Cell6_ResendCurrentCharge</t>
  </si>
  <si>
    <t>Cell6_ResendMaxTemperature</t>
  </si>
  <si>
    <t>Cell6_ResendMinVoltage</t>
  </si>
  <si>
    <t>Cell6_ResendMaxVoltage</t>
  </si>
  <si>
    <t>Cell6_ResendCellState</t>
  </si>
  <si>
    <t>Cell7_ResendCurrentDischarge</t>
  </si>
  <si>
    <t>Cell7_ResendCurrentCharge</t>
  </si>
  <si>
    <t>Cell7_ResendMaxTemperature</t>
  </si>
  <si>
    <t>Cell7_ResendMinVoltage</t>
  </si>
  <si>
    <t>Cell7_ResendMaxVoltage</t>
  </si>
  <si>
    <t>Cell7_ResendCellState</t>
  </si>
  <si>
    <t>Cell8_ResendCurrentDischarge</t>
  </si>
  <si>
    <t>Cell8_ResendCurrentCharge</t>
  </si>
  <si>
    <t>Cell8_ResendMaxTemperature</t>
  </si>
  <si>
    <t>Cell8_ResendMinVoltage</t>
  </si>
  <si>
    <t>Cell8_ResendMaxVoltage</t>
  </si>
  <si>
    <t>Cell8_ResendCellState</t>
  </si>
  <si>
    <t>Cell1_TemperatureDischargeSystemResend</t>
  </si>
  <si>
    <t>Cell2_TemperatureDischargeSystemResend</t>
  </si>
  <si>
    <t>Cell3_TemperatureDischargeSystemResend</t>
  </si>
  <si>
    <t>Cell4_TemperatureDischargeSystemResend</t>
  </si>
  <si>
    <t>Cell5_TemperatureDischargeSystemResend</t>
  </si>
  <si>
    <t>Cell6_TemperatureDischargeSystemResend</t>
  </si>
  <si>
    <t>Cell7_TemperatureDischargeSystemResend</t>
  </si>
  <si>
    <t>Cell8_TemperatureDischargeSystemResend</t>
  </si>
  <si>
    <t>SLAVE1_CELL1_RESEND_ LECTURES</t>
  </si>
  <si>
    <t>SLAVE1_CELL2_RESEND_ LECTURES</t>
  </si>
  <si>
    <t>SLAVE2_CELL3_RESEND_ LECTURES</t>
  </si>
  <si>
    <t>SLAVE2_CELL4_RESEND_ LECTURES</t>
  </si>
  <si>
    <t>SLAVE3_CELL5_RESEND_ LECTURES</t>
  </si>
  <si>
    <t>SLAVE3_CELL6_RESEND_ LECTURES</t>
  </si>
  <si>
    <t>SLAVE4_CELL7_RESEND_ LECTURES</t>
  </si>
  <si>
    <t>SLAVE4_CELL8_RESEND_ LECTURES</t>
  </si>
  <si>
    <t>Cell3_SetCicleNumber</t>
  </si>
  <si>
    <t>[nº]</t>
  </si>
  <si>
    <t>Cell1_SetCicleNumber</t>
  </si>
  <si>
    <t>Cell2_SetCicleNumber</t>
  </si>
  <si>
    <t>Cell4_SetCicleNumber</t>
  </si>
  <si>
    <t>Cell5_SetCicleNumber</t>
  </si>
  <si>
    <t>Cell6_SetCicleNumber</t>
  </si>
  <si>
    <t>Cell7_SetCicleNumber</t>
  </si>
  <si>
    <t>Cell8_SetCicleNumber</t>
  </si>
  <si>
    <t>Cell1_ResendCicleNumber</t>
  </si>
  <si>
    <t>Cell2_ResendCicleNumber</t>
  </si>
  <si>
    <t>Cell3_ResendCicleNumber</t>
  </si>
  <si>
    <t>Cell4_ResendCicleNumber</t>
  </si>
  <si>
    <t>Cell5_ResendCicleNumber</t>
  </si>
  <si>
    <t>Cell6_ResendCicleNumber</t>
  </si>
  <si>
    <t>Cell7_ResendCicleNumber</t>
  </si>
  <si>
    <t>Cell8_ResendCicleNumber</t>
  </si>
  <si>
    <t>Cell1_Capacity</t>
  </si>
  <si>
    <t>Cell1_Energy</t>
  </si>
  <si>
    <t>Cell1_RelativeErrorCurrent</t>
  </si>
  <si>
    <t>Cell1_RelativeErrorEnergy</t>
  </si>
  <si>
    <t>Cell1_DeltaY</t>
  </si>
  <si>
    <t>Cell1_AcumulateError</t>
  </si>
  <si>
    <t>CELL1_MASTERPARAMETERS</t>
  </si>
  <si>
    <t>CELL2_MASTERPARAMETERS</t>
  </si>
  <si>
    <t>CELL3_MASTERPARAMETERS</t>
  </si>
  <si>
    <t>CELL4_MASTERPARAMETERS</t>
  </si>
  <si>
    <t>CELL5_MASTERPARAMETERS</t>
  </si>
  <si>
    <t>CELL6_MASTERPARAMETERS</t>
  </si>
  <si>
    <t>CELL7_MASTERPARAMETERS</t>
  </si>
  <si>
    <t>CELL8_MASTERPARAMETERS</t>
  </si>
  <si>
    <t>Cell2_Capacity</t>
  </si>
  <si>
    <t>Cell2_Energy</t>
  </si>
  <si>
    <t>Cell2_RelativeErrorCurrent</t>
  </si>
  <si>
    <t>Cell2_RelativeErrorEnergy</t>
  </si>
  <si>
    <t>Cell2_DeltaY</t>
  </si>
  <si>
    <t>Cell2_AcumulateError</t>
  </si>
  <si>
    <t>Cell3_Capacity</t>
  </si>
  <si>
    <t>Cell3_Energy</t>
  </si>
  <si>
    <t>Cell3_RelativeErrorCurrent</t>
  </si>
  <si>
    <t>Cell3_RelativeErrorEnergy</t>
  </si>
  <si>
    <t>Cell3_DeltaY</t>
  </si>
  <si>
    <t>Cell3_AcumulateError</t>
  </si>
  <si>
    <t>Cell4_Capacity</t>
  </si>
  <si>
    <t>Cell4_Energy</t>
  </si>
  <si>
    <t>Cell4_RelativeErrorCurrent</t>
  </si>
  <si>
    <t>Cell4_RelativeErrorEnergy</t>
  </si>
  <si>
    <t>Cell4_DeltaY</t>
  </si>
  <si>
    <t>Cell4_AcumulateError</t>
  </si>
  <si>
    <t>Cell5_Capacity</t>
  </si>
  <si>
    <t>Cell5_Energy</t>
  </si>
  <si>
    <t>Cell5_RelativeErrorCurrent</t>
  </si>
  <si>
    <t>Cell5_RelativeErrorEnergy</t>
  </si>
  <si>
    <t>Cell5_DeltaY</t>
  </si>
  <si>
    <t>Cell5_AcumulateError</t>
  </si>
  <si>
    <t>Cell6_Capacity</t>
  </si>
  <si>
    <t>Cell6_Energy</t>
  </si>
  <si>
    <t>Cell6_RelativeErrorCurrent</t>
  </si>
  <si>
    <t>Cell6_RelativeErrorEnergy</t>
  </si>
  <si>
    <t>Cell6_DeltaY</t>
  </si>
  <si>
    <t>Cell6_AcumulateError</t>
  </si>
  <si>
    <t>Cell7_Capacity</t>
  </si>
  <si>
    <t>Cell7_Energy</t>
  </si>
  <si>
    <t>Cell7_RelativeErrorCurrent</t>
  </si>
  <si>
    <t>Cell7_RelativeErrorEnergy</t>
  </si>
  <si>
    <t>Cell7_DeltaY</t>
  </si>
  <si>
    <t>Cell7_AcumulateError</t>
  </si>
  <si>
    <t>Cell8_Capacity</t>
  </si>
  <si>
    <t>Cell8_Energy</t>
  </si>
  <si>
    <t>Cell8_RelativeErrorCurrent</t>
  </si>
  <si>
    <t>Cell8_RelativeErrorEnergy</t>
  </si>
  <si>
    <t>Cell8_DeltaY</t>
  </si>
  <si>
    <t>Cell8_AcumulateError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</si>
</sst>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8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/>
    <xf numFmtId="0" fontId="0" fillId="0" borderId="16" xfId="0" applyFont="1" applyBorder="1" applyAlignment="1">
      <alignment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2" xfId="0" applyFont="1" applyBorder="1" applyAlignment="1">
      <alignment horizontal="center" vertical="center"/>
    </xf>
    <xf numFmtId="0" fontId="0" fillId="0" borderId="19" xfId="0" applyFont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0" borderId="12" xfId="0" applyFont="1" applyFill="1" applyBorder="1" applyAlignment="1">
      <alignment vertical="center"/>
    </xf>
    <xf numFmtId="49" fontId="0" fillId="0" borderId="0" xfId="0" applyNumberFormat="1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49" fontId="0" fillId="0" borderId="0" xfId="0" applyNumberFormat="1" applyFont="1" applyBorder="1" applyAlignment="1">
      <alignment horizontal="center" vertical="center"/>
    </xf>
    <xf numFmtId="49" fontId="0" fillId="0" borderId="12" xfId="0" applyNumberFormat="1" applyFont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 wrapText="1"/>
    </xf>
    <xf numFmtId="49" fontId="0" fillId="0" borderId="16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3" xfId="0" applyFont="1" applyFill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13" xfId="0" applyFont="1" applyBorder="1" applyAlignment="1">
      <alignment horizontal="center" vertical="center" textRotation="90" wrapText="1"/>
    </xf>
    <xf numFmtId="0" fontId="0" fillId="0" borderId="13" xfId="0" applyFont="1" applyBorder="1" applyAlignment="1">
      <alignment horizontal="center" vertical="center" wrapText="1"/>
    </xf>
    <xf numFmtId="0" fontId="0" fillId="0" borderId="0" xfId="0" applyFont="1" applyAlignment="1">
      <alignment vertical="center" textRotation="90" wrapText="1"/>
    </xf>
    <xf numFmtId="0" fontId="0" fillId="0" borderId="0" xfId="0" applyFont="1" applyAlignment="1">
      <alignment vertical="center" wrapText="1"/>
    </xf>
    <xf numFmtId="49" fontId="0" fillId="0" borderId="16" xfId="0" applyNumberFormat="1" applyFont="1" applyBorder="1" applyAlignment="1">
      <alignment vertical="center"/>
    </xf>
    <xf numFmtId="49" fontId="0" fillId="0" borderId="0" xfId="0" applyNumberFormat="1" applyFont="1" applyBorder="1" applyAlignment="1">
      <alignment vertical="center"/>
    </xf>
    <xf numFmtId="49" fontId="0" fillId="0" borderId="12" xfId="0" applyNumberFormat="1" applyFont="1" applyBorder="1" applyAlignment="1">
      <alignment vertical="center"/>
    </xf>
    <xf numFmtId="49" fontId="0" fillId="0" borderId="13" xfId="0" applyNumberFormat="1" applyFont="1" applyBorder="1" applyAlignment="1">
      <alignment vertical="center"/>
    </xf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49" fontId="0" fillId="0" borderId="12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12" xfId="0" applyNumberFormat="1" applyFont="1" applyBorder="1" applyAlignment="1">
      <alignment horizontal="center" vertical="center"/>
    </xf>
    <xf numFmtId="49" fontId="0" fillId="0" borderId="16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49" fontId="0" fillId="0" borderId="16" xfId="0" applyNumberFormat="1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 textRotation="90"/>
    </xf>
    <xf numFmtId="0" fontId="0" fillId="0" borderId="0" xfId="0" applyFont="1" applyBorder="1" applyAlignment="1">
      <alignment horizontal="center" vertical="center" textRotation="90"/>
    </xf>
    <xf numFmtId="0" fontId="0" fillId="0" borderId="12" xfId="0" applyFont="1" applyBorder="1" applyAlignment="1">
      <alignment horizontal="center" vertical="center" textRotation="90"/>
    </xf>
    <xf numFmtId="49" fontId="0" fillId="0" borderId="12" xfId="0" applyNumberFormat="1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textRotation="90" wrapText="1"/>
    </xf>
    <xf numFmtId="0" fontId="0" fillId="0" borderId="16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12" xfId="0" applyNumberFormat="1" applyFont="1" applyBorder="1" applyAlignment="1">
      <alignment horizontal="center" vertical="center"/>
    </xf>
    <xf numFmtId="0" fontId="0" fillId="0" borderId="25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16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49" fontId="0" fillId="0" borderId="13" xfId="0" applyNumberFormat="1" applyFont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T137"/>
  <sheetViews>
    <sheetView topLeftCell="C1" zoomScale="85" zoomScaleNormal="85" workbookViewId="0">
      <selection activeCell="C2" sqref="C2"/>
    </sheetView>
  </sheetViews>
  <sheetFormatPr defaultColWidth="12.6640625" defaultRowHeight="15.75" customHeight="1" x14ac:dyDescent="0.25"/>
  <cols>
    <col min="1" max="1" width="4.5546875" customWidth="1"/>
    <col min="2" max="2" width="5.44140625" bestFit="1" customWidth="1"/>
    <col min="3" max="3" width="24.44140625" customWidth="1"/>
    <col min="5" max="5" width="4.88671875" customWidth="1"/>
    <col min="6" max="6" width="5.33203125" customWidth="1"/>
    <col min="7" max="7" width="6.109375" customWidth="1"/>
    <col min="8" max="8" width="24.6640625" customWidth="1"/>
    <col min="9" max="9" width="5.44140625" customWidth="1"/>
    <col min="10" max="10" width="12.88671875" customWidth="1"/>
    <col min="11" max="11" width="6.6640625" customWidth="1"/>
    <col min="12" max="12" width="6.21875" customWidth="1"/>
  </cols>
  <sheetData>
    <row r="2" spans="1:20" ht="13.2" x14ac:dyDescent="0.25">
      <c r="B2" s="34" t="s">
        <v>100</v>
      </c>
      <c r="C2" s="1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3" t="s">
        <v>9</v>
      </c>
      <c r="M2" s="3" t="s">
        <v>10</v>
      </c>
    </row>
    <row r="3" spans="1:20" ht="15.6" customHeight="1" x14ac:dyDescent="0.25">
      <c r="A3" s="16"/>
      <c r="B3" s="99" t="s">
        <v>101</v>
      </c>
      <c r="C3" s="111" t="s">
        <v>92</v>
      </c>
      <c r="D3" s="111" t="s">
        <v>118</v>
      </c>
      <c r="E3" s="111">
        <v>6</v>
      </c>
      <c r="F3" s="111" t="s">
        <v>13</v>
      </c>
      <c r="G3" s="21">
        <v>0</v>
      </c>
      <c r="H3" s="21" t="s">
        <v>94</v>
      </c>
      <c r="I3" s="21" t="s">
        <v>89</v>
      </c>
      <c r="J3" s="21" t="s">
        <v>90</v>
      </c>
      <c r="K3" s="21">
        <v>0</v>
      </c>
      <c r="L3" s="24">
        <v>8</v>
      </c>
      <c r="M3" s="15" t="s">
        <v>95</v>
      </c>
      <c r="N3" s="16"/>
      <c r="O3" s="16"/>
      <c r="P3" s="16"/>
      <c r="Q3" s="16"/>
      <c r="R3" s="16"/>
      <c r="S3" s="16"/>
      <c r="T3" s="16"/>
    </row>
    <row r="4" spans="1:20" ht="15.75" customHeight="1" x14ac:dyDescent="0.25">
      <c r="A4" s="16"/>
      <c r="B4" s="100"/>
      <c r="C4" s="110"/>
      <c r="D4" s="110"/>
      <c r="E4" s="110"/>
      <c r="F4" s="110"/>
      <c r="G4" s="12">
        <v>1</v>
      </c>
      <c r="H4" s="12" t="s">
        <v>96</v>
      </c>
      <c r="I4" s="12" t="s">
        <v>89</v>
      </c>
      <c r="J4" s="12" t="s">
        <v>90</v>
      </c>
      <c r="K4" s="12">
        <v>8</v>
      </c>
      <c r="L4" s="25">
        <v>8</v>
      </c>
      <c r="M4" s="15" t="s">
        <v>97</v>
      </c>
      <c r="N4" s="16"/>
      <c r="O4" s="16"/>
      <c r="P4" s="16"/>
      <c r="Q4" s="16"/>
      <c r="R4" s="16"/>
      <c r="S4" s="16"/>
      <c r="T4" s="16"/>
    </row>
    <row r="5" spans="1:20" ht="15.75" customHeight="1" x14ac:dyDescent="0.25">
      <c r="A5" s="16"/>
      <c r="B5" s="100"/>
      <c r="C5" s="110"/>
      <c r="D5" s="110"/>
      <c r="E5" s="110"/>
      <c r="F5" s="110"/>
      <c r="G5" s="12">
        <v>2</v>
      </c>
      <c r="H5" s="12" t="s">
        <v>98</v>
      </c>
      <c r="I5" s="12" t="s">
        <v>89</v>
      </c>
      <c r="J5" s="12" t="s">
        <v>90</v>
      </c>
      <c r="K5" s="12">
        <v>16</v>
      </c>
      <c r="L5" s="25">
        <v>8</v>
      </c>
      <c r="M5" s="15" t="s">
        <v>99</v>
      </c>
      <c r="N5" s="16"/>
      <c r="O5" s="16"/>
      <c r="P5" s="16"/>
      <c r="Q5" s="16"/>
      <c r="R5" s="16"/>
      <c r="S5" s="16"/>
      <c r="T5" s="16"/>
    </row>
    <row r="6" spans="1:20" ht="15.75" customHeight="1" x14ac:dyDescent="0.25">
      <c r="A6" s="16"/>
      <c r="B6" s="100"/>
      <c r="C6" s="110"/>
      <c r="D6" s="110"/>
      <c r="E6" s="110"/>
      <c r="F6" s="110"/>
      <c r="G6" s="12">
        <v>3</v>
      </c>
      <c r="H6" s="12" t="s">
        <v>102</v>
      </c>
      <c r="I6" s="12" t="s">
        <v>89</v>
      </c>
      <c r="J6" s="12" t="s">
        <v>90</v>
      </c>
      <c r="K6" s="12">
        <v>24</v>
      </c>
      <c r="L6" s="25">
        <v>8</v>
      </c>
      <c r="M6" s="15" t="s">
        <v>119</v>
      </c>
      <c r="N6" s="16"/>
      <c r="O6" s="16"/>
      <c r="P6" s="16"/>
      <c r="Q6" s="16"/>
      <c r="R6" s="16"/>
      <c r="S6" s="16"/>
      <c r="T6" s="16"/>
    </row>
    <row r="7" spans="1:20" ht="15.75" customHeight="1" x14ac:dyDescent="0.25">
      <c r="A7" s="16"/>
      <c r="B7" s="100"/>
      <c r="C7" s="110"/>
      <c r="D7" s="110"/>
      <c r="E7" s="110"/>
      <c r="F7" s="110"/>
      <c r="G7" s="12">
        <v>4</v>
      </c>
      <c r="H7" s="12" t="s">
        <v>103</v>
      </c>
      <c r="I7" s="12" t="s">
        <v>89</v>
      </c>
      <c r="J7" s="12" t="s">
        <v>90</v>
      </c>
      <c r="K7" s="12">
        <v>32</v>
      </c>
      <c r="L7" s="25">
        <v>8</v>
      </c>
      <c r="M7" s="15" t="s">
        <v>120</v>
      </c>
      <c r="N7" s="16"/>
      <c r="O7" s="16"/>
      <c r="P7" s="16"/>
      <c r="Q7" s="16"/>
      <c r="R7" s="16"/>
      <c r="S7" s="16"/>
      <c r="T7" s="16"/>
    </row>
    <row r="8" spans="1:20" ht="15.75" customHeight="1" x14ac:dyDescent="0.25">
      <c r="A8" s="16"/>
      <c r="B8" s="101"/>
      <c r="C8" s="112"/>
      <c r="D8" s="112"/>
      <c r="E8" s="112"/>
      <c r="F8" s="112"/>
      <c r="G8" s="13">
        <v>5</v>
      </c>
      <c r="H8" s="13" t="s">
        <v>104</v>
      </c>
      <c r="I8" s="13" t="s">
        <v>89</v>
      </c>
      <c r="J8" s="13" t="s">
        <v>90</v>
      </c>
      <c r="K8" s="13">
        <v>40</v>
      </c>
      <c r="L8" s="27">
        <v>8</v>
      </c>
      <c r="M8" s="15" t="s">
        <v>121</v>
      </c>
      <c r="N8" s="16"/>
      <c r="O8" s="16"/>
      <c r="P8" s="16"/>
      <c r="Q8" s="16"/>
      <c r="R8" s="16"/>
      <c r="S8" s="16"/>
      <c r="T8" s="16"/>
    </row>
    <row r="9" spans="1:20" ht="13.2" x14ac:dyDescent="0.25">
      <c r="A9" s="16"/>
      <c r="B9" s="102"/>
      <c r="C9" s="96" t="s">
        <v>11</v>
      </c>
      <c r="D9" s="107" t="s">
        <v>12</v>
      </c>
      <c r="E9" s="107">
        <v>8</v>
      </c>
      <c r="F9" s="107" t="s">
        <v>13</v>
      </c>
      <c r="G9" s="7" t="s">
        <v>14</v>
      </c>
      <c r="H9" s="7" t="s">
        <v>15</v>
      </c>
      <c r="I9" s="7" t="s">
        <v>16</v>
      </c>
      <c r="J9" s="7"/>
      <c r="K9" s="7">
        <v>0</v>
      </c>
      <c r="L9" s="4">
        <v>16</v>
      </c>
      <c r="M9" s="14"/>
      <c r="N9" s="16"/>
      <c r="O9" s="16"/>
      <c r="P9" s="16"/>
      <c r="Q9" s="16"/>
      <c r="R9" s="16"/>
      <c r="S9" s="16"/>
      <c r="T9" s="16"/>
    </row>
    <row r="10" spans="1:20" ht="13.2" x14ac:dyDescent="0.25">
      <c r="A10" s="16"/>
      <c r="B10" s="98"/>
      <c r="C10" s="98"/>
      <c r="D10" s="108"/>
      <c r="E10" s="108"/>
      <c r="F10" s="108"/>
      <c r="G10" s="8" t="s">
        <v>17</v>
      </c>
      <c r="H10" s="8" t="s">
        <v>18</v>
      </c>
      <c r="I10" s="8" t="s">
        <v>16</v>
      </c>
      <c r="J10" s="8"/>
      <c r="K10" s="8">
        <v>16</v>
      </c>
      <c r="L10" s="5">
        <v>16</v>
      </c>
      <c r="M10" s="14"/>
      <c r="N10" s="16"/>
      <c r="O10" s="16"/>
      <c r="P10" s="16"/>
      <c r="Q10" s="16"/>
      <c r="R10" s="16"/>
      <c r="S10" s="16"/>
      <c r="T10" s="16"/>
    </row>
    <row r="11" spans="1:20" ht="13.2" x14ac:dyDescent="0.25">
      <c r="A11" s="16"/>
      <c r="B11" s="98"/>
      <c r="C11" s="98"/>
      <c r="D11" s="108"/>
      <c r="E11" s="108"/>
      <c r="F11" s="108"/>
      <c r="G11" s="8" t="s">
        <v>19</v>
      </c>
      <c r="H11" s="8" t="s">
        <v>20</v>
      </c>
      <c r="I11" s="8" t="s">
        <v>16</v>
      </c>
      <c r="J11" s="8"/>
      <c r="K11" s="8">
        <v>32</v>
      </c>
      <c r="L11" s="5">
        <v>16</v>
      </c>
      <c r="M11" s="14"/>
      <c r="N11" s="16"/>
      <c r="O11" s="16"/>
      <c r="P11" s="16"/>
      <c r="Q11" s="16"/>
      <c r="R11" s="16"/>
      <c r="S11" s="16"/>
      <c r="T11" s="16"/>
    </row>
    <row r="12" spans="1:20" ht="13.2" x14ac:dyDescent="0.25">
      <c r="A12" s="16"/>
      <c r="B12" s="97"/>
      <c r="C12" s="97"/>
      <c r="D12" s="109"/>
      <c r="E12" s="109"/>
      <c r="F12" s="109"/>
      <c r="G12" s="9" t="s">
        <v>21</v>
      </c>
      <c r="H12" s="9" t="s">
        <v>22</v>
      </c>
      <c r="I12" s="9" t="s">
        <v>16</v>
      </c>
      <c r="J12" s="9"/>
      <c r="K12" s="9">
        <v>48</v>
      </c>
      <c r="L12" s="6">
        <v>16</v>
      </c>
      <c r="M12" s="14"/>
      <c r="N12" s="16"/>
      <c r="O12" s="16"/>
      <c r="P12" s="16"/>
      <c r="Q12" s="16"/>
      <c r="R12" s="16"/>
      <c r="S12" s="16"/>
      <c r="T12" s="16"/>
    </row>
    <row r="13" spans="1:20" ht="13.2" x14ac:dyDescent="0.25">
      <c r="A13" s="16"/>
      <c r="B13" s="96"/>
      <c r="C13" s="96" t="s">
        <v>23</v>
      </c>
      <c r="D13" s="107" t="s">
        <v>24</v>
      </c>
      <c r="E13" s="107">
        <v>8</v>
      </c>
      <c r="F13" s="107" t="s">
        <v>13</v>
      </c>
      <c r="G13" s="7" t="s">
        <v>14</v>
      </c>
      <c r="H13" s="7" t="s">
        <v>25</v>
      </c>
      <c r="I13" s="7" t="s">
        <v>16</v>
      </c>
      <c r="J13" s="7"/>
      <c r="K13" s="7">
        <v>0</v>
      </c>
      <c r="L13" s="4">
        <v>16</v>
      </c>
      <c r="M13" s="14"/>
      <c r="N13" s="16"/>
      <c r="O13" s="16"/>
      <c r="P13" s="16"/>
      <c r="Q13" s="16"/>
      <c r="R13" s="16"/>
      <c r="S13" s="16"/>
      <c r="T13" s="16"/>
    </row>
    <row r="14" spans="1:20" ht="13.2" x14ac:dyDescent="0.25">
      <c r="A14" s="16"/>
      <c r="B14" s="98"/>
      <c r="C14" s="98"/>
      <c r="D14" s="108"/>
      <c r="E14" s="108"/>
      <c r="F14" s="113"/>
      <c r="G14" s="12" t="s">
        <v>17</v>
      </c>
      <c r="H14" s="12" t="s">
        <v>26</v>
      </c>
      <c r="I14" s="12" t="s">
        <v>16</v>
      </c>
      <c r="J14" s="12"/>
      <c r="K14" s="8">
        <v>16</v>
      </c>
      <c r="L14" s="5">
        <v>16</v>
      </c>
      <c r="M14" s="14"/>
      <c r="N14" s="16"/>
      <c r="O14" s="16"/>
      <c r="P14" s="16"/>
      <c r="Q14" s="16"/>
      <c r="R14" s="16"/>
      <c r="S14" s="16"/>
      <c r="T14" s="16"/>
    </row>
    <row r="15" spans="1:20" ht="13.2" x14ac:dyDescent="0.25">
      <c r="A15" s="16"/>
      <c r="B15" s="98"/>
      <c r="C15" s="98"/>
      <c r="D15" s="108"/>
      <c r="E15" s="108"/>
      <c r="F15" s="113"/>
      <c r="G15" s="12" t="s">
        <v>19</v>
      </c>
      <c r="H15" s="12" t="s">
        <v>27</v>
      </c>
      <c r="I15" s="12" t="s">
        <v>16</v>
      </c>
      <c r="J15" s="12"/>
      <c r="K15" s="8">
        <v>32</v>
      </c>
      <c r="L15" s="5">
        <v>16</v>
      </c>
      <c r="M15" s="14"/>
      <c r="N15" s="16"/>
      <c r="O15" s="16"/>
      <c r="P15" s="16"/>
      <c r="Q15" s="16"/>
      <c r="R15" s="16"/>
      <c r="S15" s="16"/>
      <c r="T15" s="16"/>
    </row>
    <row r="16" spans="1:20" ht="13.2" x14ac:dyDescent="0.25">
      <c r="A16" s="16"/>
      <c r="B16" s="98"/>
      <c r="C16" s="98"/>
      <c r="D16" s="94"/>
      <c r="E16" s="94"/>
      <c r="F16" s="94"/>
      <c r="G16" s="12" t="s">
        <v>21</v>
      </c>
      <c r="H16" s="12" t="s">
        <v>28</v>
      </c>
      <c r="I16" s="12" t="s">
        <v>16</v>
      </c>
      <c r="J16" s="12"/>
      <c r="K16" s="12">
        <v>48</v>
      </c>
      <c r="L16" s="5">
        <v>16</v>
      </c>
      <c r="M16" s="14"/>
      <c r="N16" s="16"/>
      <c r="O16" s="16"/>
      <c r="P16" s="16"/>
      <c r="Q16" s="16"/>
      <c r="R16" s="16"/>
      <c r="S16" s="16"/>
      <c r="T16" s="16"/>
    </row>
    <row r="17" spans="1:20" ht="15.6" customHeight="1" x14ac:dyDescent="0.25">
      <c r="A17" s="16"/>
      <c r="B17" s="106" t="s">
        <v>101</v>
      </c>
      <c r="C17" s="93" t="s">
        <v>114</v>
      </c>
      <c r="D17" s="93" t="s">
        <v>29</v>
      </c>
      <c r="E17" s="93">
        <v>8</v>
      </c>
      <c r="F17" s="93" t="s">
        <v>13</v>
      </c>
      <c r="G17" s="21">
        <v>0</v>
      </c>
      <c r="H17" s="21" t="s">
        <v>106</v>
      </c>
      <c r="I17" s="21" t="s">
        <v>115</v>
      </c>
      <c r="J17" s="21"/>
      <c r="K17" s="7">
        <v>0</v>
      </c>
      <c r="L17" s="4">
        <v>8</v>
      </c>
      <c r="M17" s="14"/>
      <c r="N17" s="16"/>
      <c r="O17" s="16"/>
      <c r="P17" s="16"/>
      <c r="Q17" s="16"/>
      <c r="R17" s="16"/>
      <c r="S17" s="16"/>
      <c r="T17" s="16"/>
    </row>
    <row r="18" spans="1:20" ht="15.75" customHeight="1" x14ac:dyDescent="0.25">
      <c r="A18" s="16"/>
      <c r="B18" s="104"/>
      <c r="C18" s="94"/>
      <c r="D18" s="94"/>
      <c r="E18" s="94"/>
      <c r="F18" s="94"/>
      <c r="G18" s="12">
        <v>1</v>
      </c>
      <c r="H18" s="12" t="s">
        <v>107</v>
      </c>
      <c r="I18" s="12" t="s">
        <v>115</v>
      </c>
      <c r="J18" s="12"/>
      <c r="K18" s="8">
        <v>8</v>
      </c>
      <c r="L18" s="5">
        <v>8</v>
      </c>
      <c r="M18" s="14"/>
      <c r="N18" s="16"/>
      <c r="O18" s="16"/>
      <c r="P18" s="16"/>
      <c r="Q18" s="16"/>
      <c r="R18" s="16"/>
      <c r="S18" s="16"/>
      <c r="T18" s="16"/>
    </row>
    <row r="19" spans="1:20" ht="15.75" customHeight="1" x14ac:dyDescent="0.25">
      <c r="A19" s="16"/>
      <c r="B19" s="104"/>
      <c r="C19" s="94"/>
      <c r="D19" s="94"/>
      <c r="E19" s="94"/>
      <c r="F19" s="94"/>
      <c r="G19" s="12">
        <v>2</v>
      </c>
      <c r="H19" s="12" t="s">
        <v>108</v>
      </c>
      <c r="I19" s="12" t="s">
        <v>115</v>
      </c>
      <c r="J19" s="12"/>
      <c r="K19" s="8">
        <v>16</v>
      </c>
      <c r="L19" s="5">
        <v>8</v>
      </c>
      <c r="M19" s="14"/>
      <c r="N19" s="16"/>
      <c r="O19" s="16"/>
      <c r="P19" s="16"/>
      <c r="Q19" s="16"/>
      <c r="R19" s="16"/>
      <c r="S19" s="16"/>
      <c r="T19" s="16"/>
    </row>
    <row r="20" spans="1:20" ht="13.2" x14ac:dyDescent="0.25">
      <c r="A20" s="16"/>
      <c r="B20" s="104"/>
      <c r="C20" s="94"/>
      <c r="D20" s="94"/>
      <c r="E20" s="94"/>
      <c r="F20" s="94"/>
      <c r="G20" s="12">
        <v>3</v>
      </c>
      <c r="H20" s="12" t="s">
        <v>109</v>
      </c>
      <c r="I20" s="12" t="s">
        <v>115</v>
      </c>
      <c r="J20" s="12"/>
      <c r="K20" s="8">
        <v>24</v>
      </c>
      <c r="L20" s="5">
        <v>8</v>
      </c>
      <c r="M20" s="14"/>
      <c r="N20" s="16"/>
      <c r="O20" s="16"/>
      <c r="P20" s="16"/>
      <c r="Q20" s="16"/>
      <c r="R20" s="16"/>
      <c r="S20" s="16"/>
      <c r="T20" s="16"/>
    </row>
    <row r="21" spans="1:20" ht="13.2" x14ac:dyDescent="0.25">
      <c r="A21" s="16"/>
      <c r="B21" s="104"/>
      <c r="C21" s="94"/>
      <c r="D21" s="94"/>
      <c r="E21" s="94"/>
      <c r="F21" s="94"/>
      <c r="G21" s="12">
        <v>4</v>
      </c>
      <c r="H21" s="12" t="s">
        <v>110</v>
      </c>
      <c r="I21" s="12" t="s">
        <v>115</v>
      </c>
      <c r="J21" s="12"/>
      <c r="K21" s="8">
        <v>32</v>
      </c>
      <c r="L21" s="5">
        <v>8</v>
      </c>
      <c r="M21" s="14"/>
      <c r="N21" s="16"/>
      <c r="O21" s="16"/>
      <c r="P21" s="16"/>
      <c r="Q21" s="16"/>
      <c r="R21" s="16"/>
      <c r="S21" s="16"/>
      <c r="T21" s="16"/>
    </row>
    <row r="22" spans="1:20" ht="13.2" x14ac:dyDescent="0.25">
      <c r="A22" s="16"/>
      <c r="B22" s="104"/>
      <c r="C22" s="94"/>
      <c r="D22" s="94"/>
      <c r="E22" s="94"/>
      <c r="F22" s="94"/>
      <c r="G22" s="12">
        <v>5</v>
      </c>
      <c r="H22" s="12" t="s">
        <v>111</v>
      </c>
      <c r="I22" s="12" t="s">
        <v>115</v>
      </c>
      <c r="J22" s="12"/>
      <c r="K22" s="8">
        <v>40</v>
      </c>
      <c r="L22" s="5">
        <v>8</v>
      </c>
      <c r="M22" s="14"/>
      <c r="N22" s="16"/>
      <c r="O22" s="16"/>
      <c r="P22" s="16"/>
      <c r="Q22" s="16"/>
      <c r="R22" s="16"/>
      <c r="S22" s="16"/>
      <c r="T22" s="16"/>
    </row>
    <row r="23" spans="1:20" ht="13.2" x14ac:dyDescent="0.25">
      <c r="A23" s="16"/>
      <c r="B23" s="104"/>
      <c r="C23" s="94"/>
      <c r="D23" s="94"/>
      <c r="E23" s="94"/>
      <c r="F23" s="94"/>
      <c r="G23" s="12">
        <v>6</v>
      </c>
      <c r="H23" s="12" t="s">
        <v>112</v>
      </c>
      <c r="I23" s="12" t="s">
        <v>115</v>
      </c>
      <c r="J23" s="12"/>
      <c r="K23" s="8">
        <v>48</v>
      </c>
      <c r="L23" s="5">
        <v>8</v>
      </c>
      <c r="M23" s="14"/>
      <c r="N23" s="16"/>
      <c r="O23" s="16"/>
      <c r="P23" s="16"/>
      <c r="Q23" s="16"/>
      <c r="R23" s="16"/>
      <c r="S23" s="16"/>
      <c r="T23" s="16"/>
    </row>
    <row r="24" spans="1:20" ht="15.75" customHeight="1" x14ac:dyDescent="0.25">
      <c r="A24" s="16"/>
      <c r="B24" s="104"/>
      <c r="C24" s="94"/>
      <c r="D24" s="94"/>
      <c r="E24" s="94"/>
      <c r="F24" s="94"/>
      <c r="G24" s="28">
        <v>7</v>
      </c>
      <c r="H24" s="28" t="s">
        <v>113</v>
      </c>
      <c r="I24" s="22" t="s">
        <v>115</v>
      </c>
      <c r="J24" s="28"/>
      <c r="K24" s="22">
        <v>56</v>
      </c>
      <c r="L24" s="5">
        <v>8</v>
      </c>
      <c r="M24" s="14"/>
      <c r="N24" s="16"/>
      <c r="O24" s="16"/>
      <c r="P24" s="16"/>
      <c r="Q24" s="16"/>
      <c r="R24" s="16"/>
      <c r="S24" s="16"/>
      <c r="T24" s="16"/>
    </row>
    <row r="25" spans="1:20" ht="15.75" customHeight="1" x14ac:dyDescent="0.25">
      <c r="A25" s="16"/>
      <c r="B25" s="103" t="s">
        <v>101</v>
      </c>
      <c r="C25" s="111" t="s">
        <v>30</v>
      </c>
      <c r="D25" s="111" t="s">
        <v>31</v>
      </c>
      <c r="E25" s="111">
        <v>3</v>
      </c>
      <c r="F25" s="111" t="s">
        <v>13</v>
      </c>
      <c r="G25" s="23">
        <v>0</v>
      </c>
      <c r="H25" s="23" t="s">
        <v>32</v>
      </c>
      <c r="I25" s="23" t="s">
        <v>16</v>
      </c>
      <c r="J25" s="23"/>
      <c r="K25" s="23">
        <v>0</v>
      </c>
      <c r="L25" s="24">
        <v>8</v>
      </c>
      <c r="M25" s="14"/>
      <c r="N25" s="16"/>
      <c r="O25" s="16"/>
      <c r="P25" s="16"/>
      <c r="Q25" s="16"/>
      <c r="R25" s="16"/>
      <c r="S25" s="16"/>
      <c r="T25" s="16"/>
    </row>
    <row r="26" spans="1:20" ht="15.75" customHeight="1" x14ac:dyDescent="0.25">
      <c r="A26" s="16"/>
      <c r="B26" s="104"/>
      <c r="C26" s="110"/>
      <c r="D26" s="113"/>
      <c r="E26" s="113"/>
      <c r="F26" s="113"/>
      <c r="G26" s="22">
        <v>1</v>
      </c>
      <c r="H26" s="22" t="s">
        <v>33</v>
      </c>
      <c r="I26" s="22" t="s">
        <v>16</v>
      </c>
      <c r="J26" s="22"/>
      <c r="K26" s="22">
        <v>8</v>
      </c>
      <c r="L26" s="25">
        <v>8</v>
      </c>
      <c r="M26" s="14"/>
      <c r="N26" s="16"/>
      <c r="O26" s="16"/>
      <c r="P26" s="16"/>
      <c r="Q26" s="16"/>
      <c r="R26" s="16"/>
      <c r="S26" s="16"/>
      <c r="T26" s="16"/>
    </row>
    <row r="27" spans="1:20" ht="15.75" customHeight="1" x14ac:dyDescent="0.25">
      <c r="A27" s="16"/>
      <c r="B27" s="105"/>
      <c r="C27" s="112"/>
      <c r="D27" s="95"/>
      <c r="E27" s="95"/>
      <c r="F27" s="95"/>
      <c r="G27" s="26">
        <v>2</v>
      </c>
      <c r="H27" s="26" t="s">
        <v>34</v>
      </c>
      <c r="I27" s="26" t="s">
        <v>16</v>
      </c>
      <c r="J27" s="26"/>
      <c r="K27" s="26">
        <v>16</v>
      </c>
      <c r="L27" s="27">
        <v>8</v>
      </c>
      <c r="M27" s="14"/>
      <c r="N27" s="16"/>
      <c r="O27" s="16"/>
      <c r="P27" s="16"/>
      <c r="Q27" s="16"/>
      <c r="R27" s="16"/>
      <c r="S27" s="16"/>
      <c r="T27" s="16"/>
    </row>
    <row r="28" spans="1:20" ht="15.75" customHeight="1" x14ac:dyDescent="0.25">
      <c r="A28" s="17"/>
      <c r="B28" s="102" t="s">
        <v>101</v>
      </c>
      <c r="C28" s="96" t="s">
        <v>138</v>
      </c>
      <c r="D28" s="107" t="s">
        <v>116</v>
      </c>
      <c r="E28" s="107">
        <v>8</v>
      </c>
      <c r="F28" s="93" t="s">
        <v>77</v>
      </c>
      <c r="G28" s="11" t="s">
        <v>14</v>
      </c>
      <c r="H28" s="32" t="s">
        <v>122</v>
      </c>
      <c r="I28" s="23" t="s">
        <v>16</v>
      </c>
      <c r="J28" s="23"/>
      <c r="K28" s="11">
        <v>0</v>
      </c>
      <c r="L28" s="4">
        <v>16</v>
      </c>
      <c r="M28" s="14"/>
      <c r="N28" s="17"/>
      <c r="O28" s="17"/>
      <c r="P28" s="17"/>
      <c r="Q28" s="17"/>
      <c r="R28" s="17"/>
      <c r="S28" s="17"/>
      <c r="T28" s="17"/>
    </row>
    <row r="29" spans="1:20" ht="15.75" customHeight="1" x14ac:dyDescent="0.25">
      <c r="A29" s="17"/>
      <c r="B29" s="98"/>
      <c r="C29" s="98"/>
      <c r="D29" s="108"/>
      <c r="E29" s="108"/>
      <c r="F29" s="94"/>
      <c r="G29" s="8" t="s">
        <v>17</v>
      </c>
      <c r="H29" s="29" t="s">
        <v>123</v>
      </c>
      <c r="I29" s="22" t="s">
        <v>16</v>
      </c>
      <c r="J29" s="22"/>
      <c r="K29" s="8">
        <v>16</v>
      </c>
      <c r="L29" s="5">
        <v>16</v>
      </c>
      <c r="M29" s="14"/>
      <c r="N29" s="17"/>
      <c r="O29" s="17"/>
      <c r="P29" s="17"/>
      <c r="Q29" s="17"/>
      <c r="R29" s="17"/>
      <c r="S29" s="17"/>
      <c r="T29" s="17"/>
    </row>
    <row r="30" spans="1:20" ht="15.75" customHeight="1" x14ac:dyDescent="0.25">
      <c r="A30" s="17"/>
      <c r="B30" s="98"/>
      <c r="C30" s="98"/>
      <c r="D30" s="108"/>
      <c r="E30" s="108"/>
      <c r="F30" s="94"/>
      <c r="G30" s="8" t="s">
        <v>19</v>
      </c>
      <c r="H30" s="29" t="s">
        <v>124</v>
      </c>
      <c r="I30" s="22" t="s">
        <v>16</v>
      </c>
      <c r="J30" s="22"/>
      <c r="K30" s="8">
        <v>32</v>
      </c>
      <c r="L30" s="5">
        <v>16</v>
      </c>
      <c r="M30" s="14"/>
      <c r="N30" s="17"/>
      <c r="O30" s="17"/>
      <c r="P30" s="17"/>
      <c r="Q30" s="17"/>
      <c r="R30" s="17"/>
      <c r="S30" s="17"/>
      <c r="T30" s="17"/>
    </row>
    <row r="31" spans="1:20" ht="15.75" customHeight="1" x14ac:dyDescent="0.25">
      <c r="A31" s="17"/>
      <c r="B31" s="97"/>
      <c r="C31" s="97"/>
      <c r="D31" s="109"/>
      <c r="E31" s="109"/>
      <c r="F31" s="95"/>
      <c r="G31" s="9" t="s">
        <v>21</v>
      </c>
      <c r="H31" s="33" t="s">
        <v>125</v>
      </c>
      <c r="I31" s="26" t="s">
        <v>16</v>
      </c>
      <c r="J31" s="26"/>
      <c r="K31" s="9">
        <v>48</v>
      </c>
      <c r="L31" s="6">
        <v>16</v>
      </c>
      <c r="M31" s="14"/>
      <c r="N31" s="17"/>
      <c r="O31" s="17"/>
      <c r="P31" s="17"/>
      <c r="Q31" s="17"/>
      <c r="R31" s="17"/>
      <c r="S31" s="17"/>
      <c r="T31" s="17"/>
    </row>
    <row r="32" spans="1:20" ht="15.75" customHeight="1" x14ac:dyDescent="0.25">
      <c r="A32" s="17"/>
      <c r="B32" s="102" t="s">
        <v>101</v>
      </c>
      <c r="C32" s="96" t="s">
        <v>139</v>
      </c>
      <c r="D32" s="107" t="s">
        <v>117</v>
      </c>
      <c r="E32" s="107">
        <v>8</v>
      </c>
      <c r="F32" s="93" t="s">
        <v>77</v>
      </c>
      <c r="G32" s="11" t="s">
        <v>14</v>
      </c>
      <c r="H32" s="32" t="s">
        <v>126</v>
      </c>
      <c r="I32" s="23" t="s">
        <v>16</v>
      </c>
      <c r="J32" s="23"/>
      <c r="K32" s="11">
        <v>0</v>
      </c>
      <c r="L32" s="4">
        <v>16</v>
      </c>
      <c r="M32" s="14"/>
      <c r="N32" s="17"/>
      <c r="O32" s="17"/>
      <c r="P32" s="17"/>
      <c r="Q32" s="17"/>
      <c r="R32" s="17"/>
      <c r="S32" s="17"/>
      <c r="T32" s="17"/>
    </row>
    <row r="33" spans="1:20" ht="15.75" customHeight="1" x14ac:dyDescent="0.25">
      <c r="A33" s="17"/>
      <c r="B33" s="98"/>
      <c r="C33" s="98"/>
      <c r="D33" s="108"/>
      <c r="E33" s="108"/>
      <c r="F33" s="94"/>
      <c r="G33" s="22" t="s">
        <v>17</v>
      </c>
      <c r="H33" s="29" t="s">
        <v>127</v>
      </c>
      <c r="I33" s="22" t="s">
        <v>16</v>
      </c>
      <c r="J33" s="22"/>
      <c r="K33" s="8">
        <v>16</v>
      </c>
      <c r="L33" s="5">
        <v>16</v>
      </c>
      <c r="M33" s="14"/>
      <c r="N33" s="17"/>
      <c r="O33" s="17"/>
      <c r="P33" s="17"/>
      <c r="Q33" s="17"/>
      <c r="R33" s="17"/>
      <c r="S33" s="17"/>
      <c r="T33" s="17"/>
    </row>
    <row r="34" spans="1:20" ht="15.75" customHeight="1" x14ac:dyDescent="0.25">
      <c r="A34" s="17"/>
      <c r="B34" s="98"/>
      <c r="C34" s="98"/>
      <c r="D34" s="108"/>
      <c r="E34" s="108"/>
      <c r="F34" s="94"/>
      <c r="G34" s="22" t="s">
        <v>19</v>
      </c>
      <c r="H34" s="29" t="s">
        <v>128</v>
      </c>
      <c r="I34" s="22" t="s">
        <v>16</v>
      </c>
      <c r="J34" s="22"/>
      <c r="K34" s="8">
        <v>32</v>
      </c>
      <c r="L34" s="5">
        <v>16</v>
      </c>
      <c r="M34" s="14"/>
      <c r="N34" s="17"/>
      <c r="O34" s="17"/>
      <c r="P34" s="17"/>
      <c r="Q34" s="17"/>
      <c r="R34" s="17"/>
      <c r="S34" s="17"/>
      <c r="T34" s="17"/>
    </row>
    <row r="35" spans="1:20" ht="15.75" customHeight="1" x14ac:dyDescent="0.25">
      <c r="A35" s="17"/>
      <c r="B35" s="97"/>
      <c r="C35" s="97"/>
      <c r="D35" s="109"/>
      <c r="E35" s="109"/>
      <c r="F35" s="95"/>
      <c r="G35" s="22" t="s">
        <v>21</v>
      </c>
      <c r="H35" s="33" t="s">
        <v>129</v>
      </c>
      <c r="I35" s="26" t="s">
        <v>16</v>
      </c>
      <c r="J35" s="26"/>
      <c r="K35" s="22">
        <v>48</v>
      </c>
      <c r="L35" s="5">
        <v>16</v>
      </c>
      <c r="M35" s="14"/>
      <c r="N35" s="17"/>
      <c r="O35" s="17"/>
      <c r="P35" s="17"/>
      <c r="Q35" s="17"/>
      <c r="R35" s="17"/>
      <c r="S35" s="17"/>
      <c r="T35" s="17"/>
    </row>
    <row r="36" spans="1:20" ht="15.75" customHeight="1" x14ac:dyDescent="0.25">
      <c r="A36" s="17"/>
      <c r="B36" s="102" t="s">
        <v>101</v>
      </c>
      <c r="C36" s="96" t="s">
        <v>140</v>
      </c>
      <c r="D36" s="107" t="s">
        <v>142</v>
      </c>
      <c r="E36" s="107">
        <v>8</v>
      </c>
      <c r="F36" s="93" t="s">
        <v>77</v>
      </c>
      <c r="G36" s="11" t="s">
        <v>14</v>
      </c>
      <c r="H36" s="32" t="s">
        <v>130</v>
      </c>
      <c r="I36" s="23" t="s">
        <v>16</v>
      </c>
      <c r="J36" s="23"/>
      <c r="K36" s="11">
        <v>0</v>
      </c>
      <c r="L36" s="4">
        <v>16</v>
      </c>
      <c r="M36" s="14"/>
      <c r="N36" s="17"/>
      <c r="O36" s="17"/>
      <c r="P36" s="17"/>
      <c r="Q36" s="17"/>
      <c r="R36" s="17"/>
      <c r="S36" s="17"/>
      <c r="T36" s="17"/>
    </row>
    <row r="37" spans="1:20" ht="15.75" customHeight="1" x14ac:dyDescent="0.25">
      <c r="A37" s="17"/>
      <c r="B37" s="98"/>
      <c r="C37" s="98"/>
      <c r="D37" s="108"/>
      <c r="E37" s="108"/>
      <c r="F37" s="94"/>
      <c r="G37" s="8" t="s">
        <v>17</v>
      </c>
      <c r="H37" s="29" t="s">
        <v>131</v>
      </c>
      <c r="I37" s="22" t="s">
        <v>16</v>
      </c>
      <c r="J37" s="22"/>
      <c r="K37" s="8">
        <v>16</v>
      </c>
      <c r="L37" s="5">
        <v>16</v>
      </c>
      <c r="M37" s="14"/>
      <c r="N37" s="17"/>
      <c r="O37" s="17"/>
      <c r="P37" s="17"/>
      <c r="Q37" s="17"/>
      <c r="R37" s="17"/>
      <c r="S37" s="17"/>
      <c r="T37" s="17"/>
    </row>
    <row r="38" spans="1:20" ht="15.75" customHeight="1" x14ac:dyDescent="0.25">
      <c r="A38" s="17"/>
      <c r="B38" s="98"/>
      <c r="C38" s="98"/>
      <c r="D38" s="108"/>
      <c r="E38" s="108"/>
      <c r="F38" s="94"/>
      <c r="G38" s="8" t="s">
        <v>19</v>
      </c>
      <c r="H38" s="29" t="s">
        <v>132</v>
      </c>
      <c r="I38" s="22" t="s">
        <v>16</v>
      </c>
      <c r="J38" s="22"/>
      <c r="K38" s="8">
        <v>32</v>
      </c>
      <c r="L38" s="5">
        <v>16</v>
      </c>
      <c r="M38" s="14"/>
      <c r="N38" s="17"/>
      <c r="O38" s="17"/>
      <c r="P38" s="17"/>
      <c r="Q38" s="17"/>
      <c r="R38" s="17"/>
      <c r="S38" s="17"/>
      <c r="T38" s="17"/>
    </row>
    <row r="39" spans="1:20" ht="15.75" customHeight="1" x14ac:dyDescent="0.25">
      <c r="A39" s="17"/>
      <c r="B39" s="97"/>
      <c r="C39" s="97"/>
      <c r="D39" s="109"/>
      <c r="E39" s="109"/>
      <c r="F39" s="95"/>
      <c r="G39" s="9" t="s">
        <v>21</v>
      </c>
      <c r="H39" s="33" t="s">
        <v>133</v>
      </c>
      <c r="I39" s="26" t="s">
        <v>16</v>
      </c>
      <c r="J39" s="26"/>
      <c r="K39" s="9">
        <v>48</v>
      </c>
      <c r="L39" s="6">
        <v>16</v>
      </c>
      <c r="M39" s="14"/>
      <c r="N39" s="17"/>
      <c r="O39" s="17"/>
      <c r="P39" s="17"/>
      <c r="Q39" s="17"/>
      <c r="R39" s="17"/>
      <c r="S39" s="17"/>
      <c r="T39" s="17"/>
    </row>
    <row r="40" spans="1:20" ht="15.75" customHeight="1" x14ac:dyDescent="0.25">
      <c r="A40" s="17"/>
      <c r="B40" s="102" t="s">
        <v>101</v>
      </c>
      <c r="C40" s="96" t="s">
        <v>141</v>
      </c>
      <c r="D40" s="107" t="s">
        <v>143</v>
      </c>
      <c r="E40" s="107">
        <v>8</v>
      </c>
      <c r="F40" s="93" t="s">
        <v>77</v>
      </c>
      <c r="G40" s="11" t="s">
        <v>14</v>
      </c>
      <c r="H40" s="29" t="s">
        <v>134</v>
      </c>
      <c r="I40" s="22" t="s">
        <v>16</v>
      </c>
      <c r="J40" s="22"/>
      <c r="K40" s="11">
        <v>0</v>
      </c>
      <c r="L40" s="4">
        <v>16</v>
      </c>
      <c r="M40" s="14"/>
      <c r="N40" s="17"/>
      <c r="O40" s="17"/>
      <c r="P40" s="17"/>
      <c r="Q40" s="17"/>
      <c r="R40" s="17"/>
      <c r="S40" s="17"/>
      <c r="T40" s="17"/>
    </row>
    <row r="41" spans="1:20" ht="15.75" customHeight="1" x14ac:dyDescent="0.25">
      <c r="A41" s="17"/>
      <c r="B41" s="98"/>
      <c r="C41" s="98"/>
      <c r="D41" s="108"/>
      <c r="E41" s="108"/>
      <c r="F41" s="94"/>
      <c r="G41" s="22" t="s">
        <v>17</v>
      </c>
      <c r="H41" s="29" t="s">
        <v>135</v>
      </c>
      <c r="I41" s="22" t="s">
        <v>16</v>
      </c>
      <c r="J41" s="22"/>
      <c r="K41" s="8">
        <v>16</v>
      </c>
      <c r="L41" s="5">
        <v>16</v>
      </c>
      <c r="M41" s="14"/>
      <c r="N41" s="17"/>
      <c r="O41" s="17"/>
      <c r="P41" s="17"/>
      <c r="Q41" s="17"/>
      <c r="R41" s="17"/>
      <c r="S41" s="17"/>
      <c r="T41" s="17"/>
    </row>
    <row r="42" spans="1:20" ht="15.75" customHeight="1" x14ac:dyDescent="0.25">
      <c r="A42" s="17"/>
      <c r="B42" s="98"/>
      <c r="C42" s="98"/>
      <c r="D42" s="108"/>
      <c r="E42" s="108"/>
      <c r="F42" s="94"/>
      <c r="G42" s="22" t="s">
        <v>19</v>
      </c>
      <c r="H42" s="29" t="s">
        <v>136</v>
      </c>
      <c r="I42" s="22" t="s">
        <v>16</v>
      </c>
      <c r="J42" s="22"/>
      <c r="K42" s="8">
        <v>32</v>
      </c>
      <c r="L42" s="5">
        <v>16</v>
      </c>
      <c r="M42" s="14"/>
      <c r="N42" s="17"/>
      <c r="O42" s="17"/>
      <c r="P42" s="17"/>
      <c r="Q42" s="17"/>
      <c r="R42" s="17"/>
      <c r="S42" s="17"/>
      <c r="T42" s="17"/>
    </row>
    <row r="43" spans="1:20" ht="15.75" customHeight="1" x14ac:dyDescent="0.25">
      <c r="A43" s="17"/>
      <c r="B43" s="97"/>
      <c r="C43" s="97"/>
      <c r="D43" s="109"/>
      <c r="E43" s="109"/>
      <c r="F43" s="95"/>
      <c r="G43" s="22" t="s">
        <v>21</v>
      </c>
      <c r="H43" s="33" t="s">
        <v>137</v>
      </c>
      <c r="I43" s="26" t="s">
        <v>16</v>
      </c>
      <c r="J43" s="26"/>
      <c r="K43" s="22">
        <v>48</v>
      </c>
      <c r="L43" s="5">
        <v>16</v>
      </c>
      <c r="M43" s="14"/>
      <c r="N43" s="17"/>
      <c r="O43" s="17"/>
      <c r="P43" s="17"/>
      <c r="Q43" s="17"/>
      <c r="R43" s="17"/>
      <c r="S43" s="17"/>
      <c r="T43" s="17"/>
    </row>
    <row r="44" spans="1:20" ht="13.2" x14ac:dyDescent="0.25">
      <c r="A44" s="16"/>
      <c r="B44" s="102"/>
      <c r="C44" s="102" t="s">
        <v>35</v>
      </c>
      <c r="D44" s="110" t="s">
        <v>36</v>
      </c>
      <c r="E44" s="110">
        <v>8</v>
      </c>
      <c r="F44" s="110" t="s">
        <v>13</v>
      </c>
      <c r="G44" s="8" t="s">
        <v>14</v>
      </c>
      <c r="H44" s="12" t="s">
        <v>37</v>
      </c>
      <c r="I44" s="12" t="s">
        <v>38</v>
      </c>
      <c r="J44" s="12" t="s">
        <v>39</v>
      </c>
      <c r="K44" s="12">
        <v>0</v>
      </c>
      <c r="L44" s="5">
        <v>16</v>
      </c>
      <c r="M44" s="14"/>
      <c r="N44" s="16"/>
      <c r="O44" s="16"/>
      <c r="P44" s="16"/>
      <c r="Q44" s="16"/>
      <c r="R44" s="16"/>
      <c r="S44" s="16"/>
      <c r="T44" s="16"/>
    </row>
    <row r="45" spans="1:20" ht="13.2" x14ac:dyDescent="0.25">
      <c r="A45" s="16"/>
      <c r="B45" s="98"/>
      <c r="C45" s="98"/>
      <c r="D45" s="108"/>
      <c r="E45" s="108"/>
      <c r="F45" s="108"/>
      <c r="G45" s="8" t="s">
        <v>17</v>
      </c>
      <c r="H45" s="8" t="s">
        <v>40</v>
      </c>
      <c r="I45" s="8" t="s">
        <v>38</v>
      </c>
      <c r="J45" s="12" t="s">
        <v>39</v>
      </c>
      <c r="K45" s="8">
        <v>16</v>
      </c>
      <c r="L45" s="5">
        <v>16</v>
      </c>
      <c r="M45" s="14"/>
      <c r="N45" s="16"/>
      <c r="O45" s="16"/>
      <c r="P45" s="16"/>
      <c r="Q45" s="16"/>
      <c r="R45" s="16"/>
      <c r="S45" s="16"/>
      <c r="T45" s="16"/>
    </row>
    <row r="46" spans="1:20" ht="13.2" x14ac:dyDescent="0.25">
      <c r="A46" s="16"/>
      <c r="B46" s="98"/>
      <c r="C46" s="98"/>
      <c r="D46" s="108"/>
      <c r="E46" s="108"/>
      <c r="F46" s="108"/>
      <c r="G46" s="8" t="s">
        <v>19</v>
      </c>
      <c r="H46" s="8" t="s">
        <v>41</v>
      </c>
      <c r="I46" s="8" t="s">
        <v>38</v>
      </c>
      <c r="J46" s="12" t="s">
        <v>39</v>
      </c>
      <c r="K46" s="8">
        <v>32</v>
      </c>
      <c r="L46" s="5">
        <v>16</v>
      </c>
      <c r="M46" s="14"/>
      <c r="N46" s="16"/>
      <c r="O46" s="16"/>
      <c r="P46" s="16"/>
      <c r="Q46" s="16"/>
      <c r="R46" s="16"/>
      <c r="S46" s="16"/>
      <c r="T46" s="16"/>
    </row>
    <row r="47" spans="1:20" ht="13.2" x14ac:dyDescent="0.25">
      <c r="A47" s="16"/>
      <c r="B47" s="97"/>
      <c r="C47" s="97"/>
      <c r="D47" s="109"/>
      <c r="E47" s="109"/>
      <c r="F47" s="109"/>
      <c r="G47" s="9" t="s">
        <v>21</v>
      </c>
      <c r="H47" s="9" t="s">
        <v>42</v>
      </c>
      <c r="I47" s="9" t="s">
        <v>38</v>
      </c>
      <c r="J47" s="12" t="s">
        <v>39</v>
      </c>
      <c r="K47" s="9">
        <v>48</v>
      </c>
      <c r="L47" s="6">
        <v>16</v>
      </c>
      <c r="M47" s="14"/>
      <c r="N47" s="16"/>
      <c r="O47" s="16"/>
      <c r="P47" s="16"/>
      <c r="Q47" s="16"/>
      <c r="R47" s="16"/>
      <c r="S47" s="16"/>
      <c r="T47" s="16"/>
    </row>
    <row r="48" spans="1:20" ht="13.2" x14ac:dyDescent="0.25">
      <c r="A48" s="16"/>
      <c r="B48" s="96"/>
      <c r="C48" s="96" t="s">
        <v>43</v>
      </c>
      <c r="D48" s="107" t="s">
        <v>44</v>
      </c>
      <c r="E48" s="107">
        <v>8</v>
      </c>
      <c r="F48" s="107" t="s">
        <v>13</v>
      </c>
      <c r="G48" s="7" t="s">
        <v>14</v>
      </c>
      <c r="H48" s="7" t="s">
        <v>45</v>
      </c>
      <c r="I48" s="7" t="s">
        <v>38</v>
      </c>
      <c r="J48" s="7" t="s">
        <v>39</v>
      </c>
      <c r="K48" s="7">
        <v>0</v>
      </c>
      <c r="L48" s="4">
        <v>16</v>
      </c>
      <c r="M48" s="14"/>
      <c r="N48" s="16"/>
      <c r="O48" s="16"/>
      <c r="P48" s="16"/>
      <c r="Q48" s="16"/>
      <c r="R48" s="16"/>
      <c r="S48" s="16"/>
      <c r="T48" s="16"/>
    </row>
    <row r="49" spans="1:20" ht="13.2" x14ac:dyDescent="0.25">
      <c r="A49" s="16"/>
      <c r="B49" s="98"/>
      <c r="C49" s="98"/>
      <c r="D49" s="108"/>
      <c r="E49" s="108"/>
      <c r="F49" s="108"/>
      <c r="G49" s="8" t="s">
        <v>17</v>
      </c>
      <c r="H49" s="8" t="s">
        <v>46</v>
      </c>
      <c r="I49" s="8" t="s">
        <v>38</v>
      </c>
      <c r="J49" s="12" t="s">
        <v>39</v>
      </c>
      <c r="K49" s="8">
        <v>16</v>
      </c>
      <c r="L49" s="5">
        <v>16</v>
      </c>
      <c r="M49" s="14"/>
      <c r="N49" s="16"/>
      <c r="O49" s="16"/>
      <c r="P49" s="16"/>
      <c r="Q49" s="16"/>
      <c r="R49" s="16"/>
      <c r="S49" s="16"/>
      <c r="T49" s="16"/>
    </row>
    <row r="50" spans="1:20" ht="13.2" x14ac:dyDescent="0.25">
      <c r="A50" s="16"/>
      <c r="B50" s="98"/>
      <c r="C50" s="98"/>
      <c r="D50" s="108"/>
      <c r="E50" s="108"/>
      <c r="F50" s="108"/>
      <c r="G50" s="8" t="s">
        <v>19</v>
      </c>
      <c r="H50" s="8" t="s">
        <v>47</v>
      </c>
      <c r="I50" s="8" t="s">
        <v>38</v>
      </c>
      <c r="J50" s="12" t="s">
        <v>39</v>
      </c>
      <c r="K50" s="8">
        <v>32</v>
      </c>
      <c r="L50" s="5">
        <v>16</v>
      </c>
      <c r="M50" s="14"/>
      <c r="N50" s="16"/>
      <c r="O50" s="16"/>
      <c r="P50" s="16"/>
      <c r="Q50" s="16"/>
      <c r="R50" s="16"/>
      <c r="S50" s="16"/>
      <c r="T50" s="16"/>
    </row>
    <row r="51" spans="1:20" ht="13.2" x14ac:dyDescent="0.25">
      <c r="A51" s="16"/>
      <c r="B51" s="97"/>
      <c r="C51" s="97"/>
      <c r="D51" s="109"/>
      <c r="E51" s="109"/>
      <c r="F51" s="109"/>
      <c r="G51" s="9" t="s">
        <v>21</v>
      </c>
      <c r="H51" s="9" t="s">
        <v>48</v>
      </c>
      <c r="I51" s="9" t="s">
        <v>38</v>
      </c>
      <c r="J51" s="12" t="s">
        <v>39</v>
      </c>
      <c r="K51" s="9">
        <v>48</v>
      </c>
      <c r="L51" s="6">
        <v>16</v>
      </c>
      <c r="M51" s="14"/>
      <c r="N51" s="16"/>
      <c r="O51" s="16"/>
      <c r="P51" s="16"/>
      <c r="Q51" s="16"/>
      <c r="R51" s="16"/>
      <c r="S51" s="16"/>
      <c r="T51" s="16"/>
    </row>
    <row r="52" spans="1:20" ht="13.2" x14ac:dyDescent="0.25">
      <c r="A52" s="16"/>
      <c r="B52" s="96"/>
      <c r="C52" s="96" t="s">
        <v>49</v>
      </c>
      <c r="D52" s="107" t="s">
        <v>50</v>
      </c>
      <c r="E52" s="107">
        <v>8</v>
      </c>
      <c r="F52" s="107" t="s">
        <v>13</v>
      </c>
      <c r="G52" s="7">
        <v>0</v>
      </c>
      <c r="H52" s="7" t="s">
        <v>51</v>
      </c>
      <c r="I52" s="7" t="s">
        <v>52</v>
      </c>
      <c r="J52" s="7"/>
      <c r="K52" s="7">
        <v>0</v>
      </c>
      <c r="L52" s="4">
        <v>8</v>
      </c>
      <c r="M52" s="14"/>
      <c r="N52" s="16"/>
      <c r="O52" s="16"/>
      <c r="P52" s="16"/>
      <c r="Q52" s="16"/>
      <c r="R52" s="16"/>
      <c r="S52" s="16"/>
      <c r="T52" s="16"/>
    </row>
    <row r="53" spans="1:20" ht="13.2" x14ac:dyDescent="0.25">
      <c r="A53" s="16"/>
      <c r="B53" s="98"/>
      <c r="C53" s="98"/>
      <c r="D53" s="108"/>
      <c r="E53" s="108"/>
      <c r="F53" s="108"/>
      <c r="G53" s="8">
        <v>1</v>
      </c>
      <c r="H53" s="8" t="s">
        <v>53</v>
      </c>
      <c r="I53" s="8" t="s">
        <v>52</v>
      </c>
      <c r="J53" s="8"/>
      <c r="K53" s="8">
        <v>8</v>
      </c>
      <c r="L53" s="5">
        <v>8</v>
      </c>
      <c r="M53" s="14"/>
      <c r="N53" s="16"/>
      <c r="O53" s="16"/>
      <c r="P53" s="16"/>
      <c r="Q53" s="16"/>
      <c r="R53" s="16"/>
      <c r="S53" s="16"/>
      <c r="T53" s="16"/>
    </row>
    <row r="54" spans="1:20" ht="13.2" x14ac:dyDescent="0.25">
      <c r="A54" s="16"/>
      <c r="B54" s="98"/>
      <c r="C54" s="98"/>
      <c r="D54" s="108"/>
      <c r="E54" s="108"/>
      <c r="F54" s="108"/>
      <c r="G54" s="8">
        <v>2</v>
      </c>
      <c r="H54" s="8" t="s">
        <v>54</v>
      </c>
      <c r="I54" s="8" t="s">
        <v>52</v>
      </c>
      <c r="J54" s="8"/>
      <c r="K54" s="8">
        <v>16</v>
      </c>
      <c r="L54" s="5">
        <v>8</v>
      </c>
      <c r="M54" s="14"/>
      <c r="N54" s="16"/>
      <c r="O54" s="16"/>
      <c r="P54" s="16"/>
      <c r="Q54" s="16"/>
      <c r="R54" s="16"/>
      <c r="S54" s="16"/>
      <c r="T54" s="16"/>
    </row>
    <row r="55" spans="1:20" ht="13.2" x14ac:dyDescent="0.25">
      <c r="A55" s="16"/>
      <c r="B55" s="98"/>
      <c r="C55" s="98"/>
      <c r="D55" s="108"/>
      <c r="E55" s="108"/>
      <c r="F55" s="108"/>
      <c r="G55" s="8">
        <v>3</v>
      </c>
      <c r="H55" s="8" t="s">
        <v>55</v>
      </c>
      <c r="I55" s="8" t="s">
        <v>52</v>
      </c>
      <c r="J55" s="8"/>
      <c r="K55" s="8">
        <v>24</v>
      </c>
      <c r="L55" s="5">
        <v>8</v>
      </c>
      <c r="M55" s="14"/>
      <c r="N55" s="16"/>
      <c r="O55" s="16"/>
      <c r="P55" s="16"/>
      <c r="Q55" s="16"/>
      <c r="R55" s="16"/>
      <c r="S55" s="16"/>
      <c r="T55" s="16"/>
    </row>
    <row r="56" spans="1:20" ht="13.2" x14ac:dyDescent="0.25">
      <c r="A56" s="16"/>
      <c r="B56" s="98"/>
      <c r="C56" s="98"/>
      <c r="D56" s="108"/>
      <c r="E56" s="108"/>
      <c r="F56" s="108"/>
      <c r="G56" s="8">
        <v>4</v>
      </c>
      <c r="H56" s="8" t="s">
        <v>56</v>
      </c>
      <c r="I56" s="8" t="s">
        <v>52</v>
      </c>
      <c r="J56" s="8"/>
      <c r="K56" s="8">
        <v>32</v>
      </c>
      <c r="L56" s="5">
        <v>8</v>
      </c>
      <c r="M56" s="14"/>
      <c r="N56" s="16"/>
      <c r="O56" s="16"/>
      <c r="P56" s="16"/>
      <c r="Q56" s="16"/>
      <c r="R56" s="16"/>
      <c r="S56" s="16"/>
      <c r="T56" s="16"/>
    </row>
    <row r="57" spans="1:20" ht="13.2" x14ac:dyDescent="0.25">
      <c r="A57" s="16"/>
      <c r="B57" s="98"/>
      <c r="C57" s="98"/>
      <c r="D57" s="108"/>
      <c r="E57" s="108"/>
      <c r="F57" s="108"/>
      <c r="G57" s="8">
        <v>5</v>
      </c>
      <c r="H57" s="8" t="s">
        <v>57</v>
      </c>
      <c r="I57" s="8" t="s">
        <v>52</v>
      </c>
      <c r="J57" s="8"/>
      <c r="K57" s="8">
        <v>40</v>
      </c>
      <c r="L57" s="5">
        <v>8</v>
      </c>
      <c r="M57" s="14"/>
      <c r="N57" s="16"/>
      <c r="O57" s="16"/>
      <c r="P57" s="16"/>
      <c r="Q57" s="16"/>
      <c r="R57" s="16"/>
      <c r="S57" s="16"/>
      <c r="T57" s="16"/>
    </row>
    <row r="58" spans="1:20" ht="13.2" x14ac:dyDescent="0.25">
      <c r="A58" s="16"/>
      <c r="B58" s="98"/>
      <c r="C58" s="98"/>
      <c r="D58" s="108"/>
      <c r="E58" s="108"/>
      <c r="F58" s="108"/>
      <c r="G58" s="8">
        <v>6</v>
      </c>
      <c r="H58" s="8" t="s">
        <v>58</v>
      </c>
      <c r="I58" s="8" t="s">
        <v>52</v>
      </c>
      <c r="J58" s="8"/>
      <c r="K58" s="8">
        <v>48</v>
      </c>
      <c r="L58" s="5">
        <v>8</v>
      </c>
      <c r="M58" s="14"/>
      <c r="N58" s="16"/>
      <c r="O58" s="16"/>
      <c r="P58" s="16"/>
      <c r="Q58" s="16"/>
      <c r="R58" s="16"/>
      <c r="S58" s="16"/>
      <c r="T58" s="16"/>
    </row>
    <row r="59" spans="1:20" ht="13.2" x14ac:dyDescent="0.25">
      <c r="A59" s="16"/>
      <c r="B59" s="97"/>
      <c r="C59" s="97"/>
      <c r="D59" s="109"/>
      <c r="E59" s="109"/>
      <c r="F59" s="109"/>
      <c r="G59" s="9">
        <v>7</v>
      </c>
      <c r="H59" s="9" t="s">
        <v>59</v>
      </c>
      <c r="I59" s="9" t="s">
        <v>52</v>
      </c>
      <c r="J59" s="9"/>
      <c r="K59" s="9">
        <v>56</v>
      </c>
      <c r="L59" s="6">
        <v>8</v>
      </c>
      <c r="M59" s="14"/>
      <c r="N59" s="16"/>
      <c r="O59" s="16"/>
      <c r="P59" s="16"/>
      <c r="Q59" s="16"/>
      <c r="R59" s="16"/>
      <c r="S59" s="16"/>
      <c r="T59" s="16"/>
    </row>
    <row r="60" spans="1:20" ht="13.2" x14ac:dyDescent="0.25">
      <c r="A60" s="16"/>
      <c r="B60" s="96"/>
      <c r="C60" s="96" t="s">
        <v>60</v>
      </c>
      <c r="D60" s="107" t="s">
        <v>61</v>
      </c>
      <c r="E60" s="107">
        <v>8</v>
      </c>
      <c r="F60" s="107" t="s">
        <v>13</v>
      </c>
      <c r="G60" s="7">
        <v>0</v>
      </c>
      <c r="H60" s="7" t="s">
        <v>62</v>
      </c>
      <c r="I60" s="7" t="s">
        <v>52</v>
      </c>
      <c r="J60" s="7"/>
      <c r="K60" s="7">
        <v>0</v>
      </c>
      <c r="L60" s="4">
        <v>8</v>
      </c>
      <c r="M60" s="14"/>
      <c r="N60" s="16"/>
      <c r="O60" s="16"/>
      <c r="P60" s="16"/>
      <c r="Q60" s="16"/>
      <c r="R60" s="16"/>
      <c r="S60" s="16"/>
      <c r="T60" s="16"/>
    </row>
    <row r="61" spans="1:20" ht="13.2" x14ac:dyDescent="0.25">
      <c r="A61" s="16"/>
      <c r="B61" s="98"/>
      <c r="C61" s="98"/>
      <c r="D61" s="108"/>
      <c r="E61" s="108"/>
      <c r="F61" s="108"/>
      <c r="G61" s="8">
        <v>1</v>
      </c>
      <c r="H61" s="8" t="s">
        <v>63</v>
      </c>
      <c r="I61" s="8" t="s">
        <v>52</v>
      </c>
      <c r="J61" s="8"/>
      <c r="K61" s="8">
        <v>8</v>
      </c>
      <c r="L61" s="5">
        <v>8</v>
      </c>
      <c r="M61" s="14"/>
      <c r="N61" s="16"/>
      <c r="O61" s="16"/>
      <c r="P61" s="16"/>
      <c r="Q61" s="16"/>
      <c r="R61" s="16"/>
      <c r="S61" s="16"/>
      <c r="T61" s="16"/>
    </row>
    <row r="62" spans="1:20" ht="13.2" x14ac:dyDescent="0.25">
      <c r="A62" s="16"/>
      <c r="B62" s="98"/>
      <c r="C62" s="98"/>
      <c r="D62" s="108"/>
      <c r="E62" s="108"/>
      <c r="F62" s="108"/>
      <c r="G62" s="8">
        <v>2</v>
      </c>
      <c r="H62" s="8" t="s">
        <v>64</v>
      </c>
      <c r="I62" s="8" t="s">
        <v>52</v>
      </c>
      <c r="J62" s="8"/>
      <c r="K62" s="8">
        <v>16</v>
      </c>
      <c r="L62" s="5">
        <v>8</v>
      </c>
      <c r="M62" s="14"/>
      <c r="N62" s="16"/>
      <c r="O62" s="16"/>
      <c r="P62" s="16"/>
      <c r="Q62" s="16"/>
      <c r="R62" s="16"/>
      <c r="S62" s="16"/>
      <c r="T62" s="16"/>
    </row>
    <row r="63" spans="1:20" ht="13.2" x14ac:dyDescent="0.25">
      <c r="A63" s="16"/>
      <c r="B63" s="98"/>
      <c r="C63" s="98"/>
      <c r="D63" s="108"/>
      <c r="E63" s="108"/>
      <c r="F63" s="108"/>
      <c r="G63" s="8">
        <v>3</v>
      </c>
      <c r="H63" s="8" t="s">
        <v>65</v>
      </c>
      <c r="I63" s="8" t="s">
        <v>52</v>
      </c>
      <c r="J63" s="8"/>
      <c r="K63" s="8">
        <v>24</v>
      </c>
      <c r="L63" s="5">
        <v>8</v>
      </c>
      <c r="M63" s="14"/>
      <c r="N63" s="16"/>
      <c r="O63" s="16"/>
      <c r="P63" s="16"/>
      <c r="Q63" s="16"/>
      <c r="R63" s="16"/>
      <c r="S63" s="16"/>
      <c r="T63" s="16"/>
    </row>
    <row r="64" spans="1:20" ht="13.2" x14ac:dyDescent="0.25">
      <c r="A64" s="16"/>
      <c r="B64" s="98"/>
      <c r="C64" s="98"/>
      <c r="D64" s="108"/>
      <c r="E64" s="108"/>
      <c r="F64" s="108"/>
      <c r="G64" s="8">
        <v>4</v>
      </c>
      <c r="H64" s="8" t="s">
        <v>66</v>
      </c>
      <c r="I64" s="8" t="s">
        <v>52</v>
      </c>
      <c r="J64" s="8"/>
      <c r="K64" s="8">
        <v>32</v>
      </c>
      <c r="L64" s="5">
        <v>8</v>
      </c>
      <c r="M64" s="14"/>
      <c r="N64" s="16"/>
      <c r="O64" s="16"/>
      <c r="P64" s="16"/>
      <c r="Q64" s="16"/>
      <c r="R64" s="16"/>
      <c r="S64" s="16"/>
      <c r="T64" s="16"/>
    </row>
    <row r="65" spans="1:20" ht="13.2" x14ac:dyDescent="0.25">
      <c r="A65" s="16"/>
      <c r="B65" s="98"/>
      <c r="C65" s="98"/>
      <c r="D65" s="108"/>
      <c r="E65" s="108"/>
      <c r="F65" s="108"/>
      <c r="G65" s="8">
        <v>5</v>
      </c>
      <c r="H65" s="8" t="s">
        <v>67</v>
      </c>
      <c r="I65" s="8" t="s">
        <v>52</v>
      </c>
      <c r="J65" s="8"/>
      <c r="K65" s="8">
        <v>40</v>
      </c>
      <c r="L65" s="5">
        <v>8</v>
      </c>
      <c r="M65" s="14"/>
      <c r="N65" s="16"/>
      <c r="O65" s="16"/>
      <c r="P65" s="16"/>
      <c r="Q65" s="16"/>
      <c r="R65" s="16"/>
      <c r="S65" s="16"/>
      <c r="T65" s="16"/>
    </row>
    <row r="66" spans="1:20" ht="13.2" x14ac:dyDescent="0.25">
      <c r="A66" s="16"/>
      <c r="B66" s="98"/>
      <c r="C66" s="98"/>
      <c r="D66" s="108"/>
      <c r="E66" s="108"/>
      <c r="F66" s="108"/>
      <c r="G66" s="8">
        <v>6</v>
      </c>
      <c r="H66" s="8" t="s">
        <v>68</v>
      </c>
      <c r="I66" s="8" t="s">
        <v>52</v>
      </c>
      <c r="J66" s="8"/>
      <c r="K66" s="8">
        <v>48</v>
      </c>
      <c r="L66" s="5">
        <v>8</v>
      </c>
      <c r="M66" s="14"/>
      <c r="N66" s="16"/>
      <c r="O66" s="16"/>
      <c r="P66" s="16"/>
      <c r="Q66" s="16"/>
      <c r="R66" s="16"/>
      <c r="S66" s="16"/>
      <c r="T66" s="16"/>
    </row>
    <row r="67" spans="1:20" ht="13.2" x14ac:dyDescent="0.25">
      <c r="A67" s="16"/>
      <c r="B67" s="97"/>
      <c r="C67" s="97"/>
      <c r="D67" s="109"/>
      <c r="E67" s="109"/>
      <c r="F67" s="109"/>
      <c r="G67" s="9">
        <v>7</v>
      </c>
      <c r="H67" s="9" t="s">
        <v>69</v>
      </c>
      <c r="I67" s="9" t="s">
        <v>52</v>
      </c>
      <c r="J67" s="9"/>
      <c r="K67" s="9">
        <v>56</v>
      </c>
      <c r="L67" s="6">
        <v>8</v>
      </c>
      <c r="M67" s="14"/>
      <c r="N67" s="16"/>
      <c r="O67" s="16"/>
      <c r="P67" s="16"/>
      <c r="Q67" s="16"/>
      <c r="R67" s="16"/>
      <c r="S67" s="16"/>
      <c r="T67" s="16"/>
    </row>
    <row r="68" spans="1:20" ht="13.2" x14ac:dyDescent="0.25">
      <c r="A68" s="16"/>
      <c r="B68" s="96"/>
      <c r="C68" s="96" t="s">
        <v>70</v>
      </c>
      <c r="D68" s="107" t="s">
        <v>71</v>
      </c>
      <c r="E68" s="107">
        <v>2</v>
      </c>
      <c r="F68" s="107" t="s">
        <v>13</v>
      </c>
      <c r="G68" s="7">
        <v>0</v>
      </c>
      <c r="H68" s="7" t="s">
        <v>72</v>
      </c>
      <c r="I68" s="7" t="s">
        <v>73</v>
      </c>
      <c r="J68" s="7"/>
      <c r="K68" s="7">
        <v>0</v>
      </c>
      <c r="L68" s="4">
        <v>8</v>
      </c>
      <c r="M68" s="14"/>
      <c r="N68" s="16"/>
      <c r="O68" s="16"/>
      <c r="P68" s="16"/>
      <c r="Q68" s="16"/>
      <c r="R68" s="16"/>
      <c r="S68" s="16"/>
      <c r="T68" s="16"/>
    </row>
    <row r="69" spans="1:20" ht="13.2" x14ac:dyDescent="0.25">
      <c r="A69" s="16"/>
      <c r="B69" s="97"/>
      <c r="C69" s="97"/>
      <c r="D69" s="109"/>
      <c r="E69" s="109"/>
      <c r="F69" s="94"/>
      <c r="G69" s="8">
        <v>1</v>
      </c>
      <c r="H69" s="8" t="s">
        <v>74</v>
      </c>
      <c r="I69" s="8" t="s">
        <v>73</v>
      </c>
      <c r="J69" s="8"/>
      <c r="K69" s="8">
        <v>8</v>
      </c>
      <c r="L69" s="5">
        <v>8</v>
      </c>
      <c r="M69" s="14"/>
      <c r="N69" s="16"/>
      <c r="O69" s="16"/>
      <c r="P69" s="16"/>
      <c r="Q69" s="16"/>
      <c r="R69" s="16"/>
      <c r="S69" s="16"/>
      <c r="T69" s="16"/>
    </row>
    <row r="70" spans="1:20" ht="13.2" x14ac:dyDescent="0.25">
      <c r="A70" s="16"/>
      <c r="B70" s="18" t="s">
        <v>101</v>
      </c>
      <c r="C70" s="18" t="s">
        <v>105</v>
      </c>
      <c r="D70" s="19" t="s">
        <v>76</v>
      </c>
      <c r="E70" s="19">
        <v>1</v>
      </c>
      <c r="F70" s="30" t="s">
        <v>77</v>
      </c>
      <c r="G70" s="20">
        <v>0</v>
      </c>
      <c r="H70" s="20" t="s">
        <v>105</v>
      </c>
      <c r="I70" s="20" t="s">
        <v>89</v>
      </c>
      <c r="J70" s="20" t="s">
        <v>90</v>
      </c>
      <c r="K70" s="20"/>
      <c r="L70" s="31"/>
      <c r="M70" s="14"/>
      <c r="N70" s="16"/>
      <c r="O70" s="16"/>
      <c r="P70" s="16"/>
      <c r="Q70" s="16"/>
      <c r="R70" s="16"/>
      <c r="S70" s="16"/>
      <c r="T70" s="16"/>
    </row>
    <row r="71" spans="1:20" ht="13.2" x14ac:dyDescent="0.25">
      <c r="A71" s="16"/>
      <c r="B71" s="96"/>
      <c r="C71" s="96" t="s">
        <v>75</v>
      </c>
      <c r="D71" s="107" t="s">
        <v>88</v>
      </c>
      <c r="E71" s="107">
        <v>8</v>
      </c>
      <c r="F71" s="110" t="s">
        <v>77</v>
      </c>
      <c r="G71" s="12">
        <v>0</v>
      </c>
      <c r="H71" s="12" t="s">
        <v>78</v>
      </c>
      <c r="I71" s="12"/>
      <c r="J71" s="12" t="s">
        <v>79</v>
      </c>
      <c r="K71" s="12">
        <v>0</v>
      </c>
      <c r="L71" s="5">
        <v>8</v>
      </c>
      <c r="M71" s="14"/>
      <c r="N71" s="16"/>
      <c r="O71" s="16"/>
      <c r="P71" s="16"/>
      <c r="Q71" s="16"/>
      <c r="R71" s="16"/>
      <c r="S71" s="16"/>
      <c r="T71" s="16"/>
    </row>
    <row r="72" spans="1:20" ht="13.2" x14ac:dyDescent="0.25">
      <c r="A72" s="16"/>
      <c r="B72" s="98"/>
      <c r="C72" s="98"/>
      <c r="D72" s="108"/>
      <c r="E72" s="108"/>
      <c r="F72" s="108"/>
      <c r="G72" s="8">
        <v>1</v>
      </c>
      <c r="H72" s="8" t="s">
        <v>80</v>
      </c>
      <c r="I72" s="8"/>
      <c r="J72" s="8" t="s">
        <v>79</v>
      </c>
      <c r="K72" s="8">
        <v>8</v>
      </c>
      <c r="L72" s="5">
        <v>8</v>
      </c>
      <c r="M72" s="14"/>
      <c r="N72" s="16"/>
      <c r="O72" s="16"/>
      <c r="P72" s="16"/>
      <c r="Q72" s="16"/>
      <c r="R72" s="16"/>
      <c r="S72" s="16"/>
      <c r="T72" s="16"/>
    </row>
    <row r="73" spans="1:20" ht="13.2" x14ac:dyDescent="0.25">
      <c r="A73" s="16"/>
      <c r="B73" s="98"/>
      <c r="C73" s="98"/>
      <c r="D73" s="108"/>
      <c r="E73" s="108"/>
      <c r="F73" s="108"/>
      <c r="G73" s="8">
        <v>2</v>
      </c>
      <c r="H73" s="8" t="s">
        <v>81</v>
      </c>
      <c r="I73" s="8"/>
      <c r="J73" s="8" t="s">
        <v>79</v>
      </c>
      <c r="K73" s="8">
        <v>16</v>
      </c>
      <c r="L73" s="5">
        <v>8</v>
      </c>
      <c r="M73" s="15"/>
      <c r="N73" s="16"/>
      <c r="O73" s="16"/>
      <c r="P73" s="16"/>
      <c r="Q73" s="16"/>
      <c r="R73" s="16"/>
      <c r="S73" s="16"/>
      <c r="T73" s="16"/>
    </row>
    <row r="74" spans="1:20" ht="13.2" x14ac:dyDescent="0.25">
      <c r="A74" s="16"/>
      <c r="B74" s="98"/>
      <c r="C74" s="98"/>
      <c r="D74" s="108"/>
      <c r="E74" s="108"/>
      <c r="F74" s="108"/>
      <c r="G74" s="8">
        <v>3</v>
      </c>
      <c r="H74" s="8" t="s">
        <v>82</v>
      </c>
      <c r="I74" s="8"/>
      <c r="J74" s="8" t="s">
        <v>79</v>
      </c>
      <c r="K74" s="8">
        <v>24</v>
      </c>
      <c r="L74" s="5">
        <v>8</v>
      </c>
      <c r="M74" s="15"/>
      <c r="N74" s="16"/>
      <c r="O74" s="16"/>
      <c r="P74" s="16"/>
      <c r="Q74" s="16"/>
      <c r="R74" s="16"/>
      <c r="S74" s="16"/>
      <c r="T74" s="16"/>
    </row>
    <row r="75" spans="1:20" ht="13.2" x14ac:dyDescent="0.25">
      <c r="A75" s="16"/>
      <c r="B75" s="98"/>
      <c r="C75" s="98"/>
      <c r="D75" s="108"/>
      <c r="E75" s="108"/>
      <c r="F75" s="108"/>
      <c r="G75" s="8">
        <v>4</v>
      </c>
      <c r="H75" s="8" t="s">
        <v>83</v>
      </c>
      <c r="I75" s="8"/>
      <c r="J75" s="8" t="s">
        <v>79</v>
      </c>
      <c r="K75" s="8">
        <v>32</v>
      </c>
      <c r="L75" s="5">
        <v>8</v>
      </c>
      <c r="M75" s="15"/>
      <c r="N75" s="16"/>
      <c r="O75" s="16"/>
      <c r="P75" s="16"/>
      <c r="Q75" s="16"/>
      <c r="R75" s="16"/>
      <c r="S75" s="16"/>
      <c r="T75" s="16"/>
    </row>
    <row r="76" spans="1:20" ht="13.2" x14ac:dyDescent="0.25">
      <c r="A76" s="16"/>
      <c r="B76" s="98"/>
      <c r="C76" s="98"/>
      <c r="D76" s="108"/>
      <c r="E76" s="108"/>
      <c r="F76" s="108"/>
      <c r="G76" s="8">
        <v>5</v>
      </c>
      <c r="H76" s="8" t="s">
        <v>84</v>
      </c>
      <c r="I76" s="8"/>
      <c r="J76" s="8" t="s">
        <v>79</v>
      </c>
      <c r="K76" s="8">
        <v>40</v>
      </c>
      <c r="L76" s="5">
        <v>8</v>
      </c>
      <c r="M76" s="15"/>
      <c r="N76" s="16"/>
      <c r="O76" s="16"/>
      <c r="P76" s="16"/>
      <c r="Q76" s="16"/>
      <c r="R76" s="16"/>
      <c r="S76" s="16"/>
      <c r="T76" s="16"/>
    </row>
    <row r="77" spans="1:20" ht="13.2" x14ac:dyDescent="0.25">
      <c r="A77" s="16"/>
      <c r="B77" s="98"/>
      <c r="C77" s="98"/>
      <c r="D77" s="108"/>
      <c r="E77" s="108"/>
      <c r="F77" s="108"/>
      <c r="G77" s="8">
        <v>6</v>
      </c>
      <c r="H77" s="8" t="s">
        <v>85</v>
      </c>
      <c r="I77" s="8"/>
      <c r="J77" s="8" t="s">
        <v>79</v>
      </c>
      <c r="K77" s="8">
        <v>48</v>
      </c>
      <c r="L77" s="5">
        <v>8</v>
      </c>
      <c r="M77" s="15"/>
      <c r="N77" s="16"/>
      <c r="O77" s="16"/>
      <c r="P77" s="16"/>
      <c r="Q77" s="16"/>
      <c r="R77" s="16"/>
      <c r="S77" s="16"/>
      <c r="T77" s="16"/>
    </row>
    <row r="78" spans="1:20" ht="13.2" x14ac:dyDescent="0.25">
      <c r="A78" s="16"/>
      <c r="B78" s="98"/>
      <c r="C78" s="98"/>
      <c r="D78" s="94"/>
      <c r="E78" s="94"/>
      <c r="F78" s="94"/>
      <c r="G78" s="12">
        <v>7</v>
      </c>
      <c r="H78" s="12" t="s">
        <v>86</v>
      </c>
      <c r="I78" s="12"/>
      <c r="J78" s="12" t="s">
        <v>79</v>
      </c>
      <c r="K78" s="12">
        <v>56</v>
      </c>
      <c r="L78" s="5">
        <v>8</v>
      </c>
      <c r="M78" s="15"/>
      <c r="N78" s="16"/>
      <c r="O78" s="16"/>
      <c r="P78" s="16"/>
      <c r="Q78" s="16"/>
      <c r="R78" s="16"/>
      <c r="S78" s="16"/>
      <c r="T78" s="16"/>
    </row>
    <row r="79" spans="1:20" ht="13.2" x14ac:dyDescent="0.25">
      <c r="A79" s="16"/>
      <c r="B79" s="35" cm="1">
        <f t="array" aca="1" ref="B79" ca="1">+B17:BB79</f>
        <v>0</v>
      </c>
      <c r="C79" s="36" t="s">
        <v>87</v>
      </c>
      <c r="D79" s="20" t="s">
        <v>93</v>
      </c>
      <c r="E79" s="20">
        <v>1</v>
      </c>
      <c r="F79" s="20" t="s">
        <v>13</v>
      </c>
      <c r="G79" s="20">
        <v>1</v>
      </c>
      <c r="H79" s="20" t="s">
        <v>87</v>
      </c>
      <c r="I79" s="20" t="s">
        <v>89</v>
      </c>
      <c r="J79" s="20" t="s">
        <v>90</v>
      </c>
      <c r="K79" s="20">
        <v>0</v>
      </c>
      <c r="L79" s="31">
        <v>8</v>
      </c>
      <c r="M79" s="15" t="s">
        <v>91</v>
      </c>
      <c r="N79" s="16"/>
      <c r="O79" s="16"/>
      <c r="P79" s="16"/>
      <c r="Q79" s="16"/>
      <c r="R79" s="16"/>
      <c r="S79" s="16"/>
      <c r="T79" s="16"/>
    </row>
    <row r="86" spans="1:20" ht="13.2" x14ac:dyDescent="0.25">
      <c r="A86" s="16"/>
      <c r="B86" s="16"/>
      <c r="C86" s="8"/>
      <c r="D86" s="10"/>
      <c r="E86" s="8"/>
      <c r="F86" s="8"/>
      <c r="G86" s="8"/>
      <c r="I86" s="8"/>
      <c r="J86" s="8"/>
      <c r="K86" s="8"/>
      <c r="L86" s="8"/>
      <c r="M86" s="16"/>
      <c r="N86" s="16"/>
      <c r="O86" s="16"/>
      <c r="P86" s="16"/>
      <c r="Q86" s="16"/>
      <c r="R86" s="16"/>
      <c r="S86" s="16"/>
      <c r="T86" s="16"/>
    </row>
    <row r="87" spans="1:20" ht="13.2" x14ac:dyDescent="0.25">
      <c r="A87" s="16"/>
      <c r="B87" s="16"/>
      <c r="C87" s="8"/>
      <c r="D87" s="8"/>
      <c r="E87" s="8"/>
      <c r="F87" s="8"/>
      <c r="G87" s="8"/>
      <c r="H87" s="8"/>
      <c r="I87" s="8"/>
      <c r="J87" s="8"/>
      <c r="K87" s="8"/>
      <c r="L87" s="8"/>
      <c r="M87" s="16"/>
      <c r="N87" s="16"/>
      <c r="O87" s="16"/>
      <c r="P87" s="16"/>
      <c r="Q87" s="16"/>
      <c r="R87" s="16"/>
      <c r="S87" s="16"/>
      <c r="T87" s="16"/>
    </row>
    <row r="88" spans="1:20" ht="13.2" x14ac:dyDescent="0.25">
      <c r="A88" s="16"/>
      <c r="B88" s="16"/>
      <c r="C88" s="8"/>
      <c r="D88" s="8"/>
      <c r="E88" s="8"/>
      <c r="F88" s="8"/>
      <c r="G88" s="8"/>
      <c r="H88" s="8"/>
      <c r="I88" s="8"/>
      <c r="J88" s="8"/>
      <c r="K88" s="8"/>
      <c r="L88" s="8"/>
      <c r="M88" s="16"/>
      <c r="N88" s="16"/>
      <c r="O88" s="16"/>
      <c r="P88" s="16"/>
      <c r="Q88" s="16"/>
      <c r="R88" s="16"/>
      <c r="S88" s="16"/>
      <c r="T88" s="16"/>
    </row>
    <row r="89" spans="1:20" ht="13.2" x14ac:dyDescent="0.25">
      <c r="A89" s="16"/>
      <c r="B89" s="16"/>
      <c r="C89" s="8"/>
      <c r="D89" s="8"/>
      <c r="E89" s="8"/>
      <c r="F89" s="8"/>
      <c r="G89" s="8"/>
      <c r="H89" s="8"/>
      <c r="I89" s="8"/>
      <c r="J89" s="8"/>
      <c r="K89" s="8"/>
      <c r="L89" s="8"/>
      <c r="M89" s="16"/>
      <c r="N89" s="16"/>
      <c r="O89" s="16"/>
      <c r="P89" s="16"/>
      <c r="Q89" s="16"/>
      <c r="R89" s="16"/>
      <c r="S89" s="16"/>
      <c r="T89" s="16"/>
    </row>
    <row r="90" spans="1:20" ht="13.2" x14ac:dyDescent="0.25">
      <c r="A90" s="16"/>
      <c r="B90" s="16"/>
      <c r="C90" s="8"/>
      <c r="D90" s="8"/>
      <c r="E90" s="8"/>
      <c r="F90" s="8"/>
      <c r="G90" s="8"/>
      <c r="H90" s="8"/>
      <c r="I90" s="8"/>
      <c r="J90" s="8"/>
      <c r="K90" s="8"/>
      <c r="L90" s="8"/>
      <c r="M90" s="16"/>
      <c r="N90" s="16"/>
      <c r="O90" s="16"/>
      <c r="P90" s="16"/>
      <c r="Q90" s="16"/>
      <c r="R90" s="16"/>
      <c r="S90" s="16"/>
      <c r="T90" s="16"/>
    </row>
    <row r="91" spans="1:20" ht="13.2" x14ac:dyDescent="0.25">
      <c r="A91" s="16"/>
      <c r="B91" s="16"/>
      <c r="C91" s="8"/>
      <c r="D91" s="8"/>
      <c r="E91" s="8"/>
      <c r="F91" s="8"/>
      <c r="G91" s="8"/>
      <c r="H91" s="8"/>
      <c r="I91" s="8"/>
      <c r="J91" s="8"/>
      <c r="K91" s="8"/>
      <c r="L91" s="8"/>
      <c r="M91" s="16"/>
      <c r="N91" s="16"/>
      <c r="O91" s="16"/>
      <c r="P91" s="16"/>
      <c r="Q91" s="16"/>
      <c r="R91" s="16"/>
      <c r="S91" s="16"/>
      <c r="T91" s="16"/>
    </row>
    <row r="92" spans="1:20" ht="13.2" x14ac:dyDescent="0.25">
      <c r="A92" s="16"/>
      <c r="B92" s="16"/>
      <c r="C92" s="8"/>
      <c r="D92" s="8"/>
      <c r="E92" s="8"/>
      <c r="F92" s="8"/>
      <c r="G92" s="8"/>
      <c r="H92" s="8"/>
      <c r="I92" s="8"/>
      <c r="J92" s="8"/>
      <c r="K92" s="8"/>
      <c r="L92" s="8"/>
      <c r="M92" s="16"/>
      <c r="N92" s="16"/>
      <c r="O92" s="16"/>
      <c r="P92" s="16"/>
      <c r="Q92" s="16"/>
      <c r="R92" s="16"/>
      <c r="S92" s="16"/>
      <c r="T92" s="16"/>
    </row>
    <row r="93" spans="1:20" ht="13.2" x14ac:dyDescent="0.25">
      <c r="A93" s="16"/>
      <c r="B93" s="16"/>
      <c r="C93" s="8"/>
      <c r="D93" s="8"/>
      <c r="E93" s="8"/>
      <c r="F93" s="8"/>
      <c r="G93" s="8"/>
      <c r="H93" s="8"/>
      <c r="I93" s="8"/>
      <c r="J93" s="8"/>
      <c r="K93" s="8"/>
      <c r="L93" s="8"/>
      <c r="M93" s="16"/>
      <c r="N93" s="16"/>
      <c r="O93" s="16"/>
      <c r="P93" s="16"/>
      <c r="Q93" s="16"/>
      <c r="R93" s="16"/>
      <c r="S93" s="16"/>
      <c r="T93" s="16"/>
    </row>
    <row r="94" spans="1:20" ht="13.2" x14ac:dyDescent="0.25">
      <c r="A94" s="16"/>
      <c r="B94" s="16"/>
      <c r="C94" s="8"/>
      <c r="D94" s="8"/>
      <c r="E94" s="8"/>
      <c r="F94" s="8"/>
      <c r="G94" s="8"/>
      <c r="H94" s="8"/>
      <c r="I94" s="8"/>
      <c r="J94" s="8"/>
      <c r="K94" s="8"/>
      <c r="L94" s="8"/>
      <c r="M94" s="16"/>
      <c r="N94" s="16"/>
      <c r="O94" s="16"/>
      <c r="P94" s="16"/>
      <c r="Q94" s="16"/>
      <c r="R94" s="16"/>
      <c r="S94" s="16"/>
      <c r="T94" s="16"/>
    </row>
    <row r="95" spans="1:20" ht="13.2" x14ac:dyDescent="0.25">
      <c r="A95" s="16"/>
      <c r="B95" s="16"/>
      <c r="C95" s="8"/>
      <c r="D95" s="8"/>
      <c r="E95" s="8"/>
      <c r="F95" s="8"/>
      <c r="G95" s="8"/>
      <c r="H95" s="8"/>
      <c r="I95" s="8"/>
      <c r="J95" s="8"/>
      <c r="K95" s="8"/>
      <c r="L95" s="8"/>
      <c r="M95" s="16"/>
      <c r="N95" s="16"/>
      <c r="O95" s="16"/>
      <c r="P95" s="16"/>
      <c r="Q95" s="16"/>
      <c r="R95" s="16"/>
      <c r="S95" s="16"/>
      <c r="T95" s="16"/>
    </row>
    <row r="96" spans="1:20" ht="13.2" x14ac:dyDescent="0.25">
      <c r="A96" s="16"/>
      <c r="B96" s="16"/>
      <c r="C96" s="8"/>
      <c r="D96" s="8"/>
      <c r="E96" s="8"/>
      <c r="F96" s="8"/>
      <c r="G96" s="8"/>
      <c r="H96" s="8"/>
      <c r="I96" s="8"/>
      <c r="J96" s="8"/>
      <c r="K96" s="8"/>
      <c r="L96" s="8"/>
      <c r="M96" s="16"/>
      <c r="N96" s="16"/>
      <c r="O96" s="16"/>
      <c r="P96" s="16"/>
      <c r="Q96" s="16"/>
      <c r="R96" s="16"/>
      <c r="S96" s="16"/>
      <c r="T96" s="16"/>
    </row>
    <row r="97" spans="1:20" ht="13.2" x14ac:dyDescent="0.25">
      <c r="A97" s="16"/>
      <c r="B97" s="16"/>
      <c r="C97" s="8"/>
      <c r="D97" s="8"/>
      <c r="E97" s="8"/>
      <c r="F97" s="8"/>
      <c r="G97" s="8"/>
      <c r="H97" s="8"/>
      <c r="I97" s="8"/>
      <c r="J97" s="8"/>
      <c r="K97" s="8"/>
      <c r="L97" s="8"/>
      <c r="M97" s="16"/>
      <c r="N97" s="16"/>
      <c r="O97" s="16"/>
      <c r="P97" s="16"/>
      <c r="Q97" s="16"/>
      <c r="R97" s="16"/>
      <c r="S97" s="16"/>
      <c r="T97" s="16"/>
    </row>
    <row r="98" spans="1:20" ht="13.2" x14ac:dyDescent="0.25">
      <c r="A98" s="16"/>
      <c r="B98" s="16"/>
      <c r="C98" s="8"/>
      <c r="D98" s="8"/>
      <c r="E98" s="8"/>
      <c r="F98" s="8"/>
      <c r="G98" s="8"/>
      <c r="H98" s="8"/>
      <c r="I98" s="8"/>
      <c r="J98" s="8"/>
      <c r="K98" s="8"/>
      <c r="L98" s="8"/>
      <c r="M98" s="16"/>
      <c r="N98" s="16"/>
      <c r="O98" s="16"/>
      <c r="P98" s="16"/>
      <c r="Q98" s="16"/>
      <c r="R98" s="16"/>
      <c r="S98" s="16"/>
      <c r="T98" s="16"/>
    </row>
    <row r="99" spans="1:20" ht="13.2" x14ac:dyDescent="0.25">
      <c r="A99" s="16"/>
      <c r="B99" s="16"/>
      <c r="C99" s="8"/>
      <c r="D99" s="8"/>
      <c r="E99" s="8"/>
      <c r="F99" s="8"/>
      <c r="G99" s="8"/>
      <c r="H99" s="8"/>
      <c r="I99" s="8"/>
      <c r="J99" s="8"/>
      <c r="K99" s="8"/>
      <c r="L99" s="8"/>
      <c r="M99" s="16"/>
      <c r="N99" s="16"/>
      <c r="O99" s="16"/>
      <c r="P99" s="16"/>
      <c r="Q99" s="16"/>
      <c r="R99" s="16"/>
      <c r="S99" s="16"/>
      <c r="T99" s="16"/>
    </row>
    <row r="100" spans="1:20" ht="13.2" x14ac:dyDescent="0.25">
      <c r="A100" s="16"/>
      <c r="B100" s="1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16"/>
      <c r="N100" s="16"/>
      <c r="O100" s="16"/>
      <c r="P100" s="16"/>
      <c r="Q100" s="16"/>
      <c r="R100" s="16"/>
      <c r="S100" s="16"/>
      <c r="T100" s="16"/>
    </row>
    <row r="101" spans="1:20" ht="13.2" x14ac:dyDescent="0.25">
      <c r="A101" s="16"/>
      <c r="B101" s="1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16"/>
      <c r="N101" s="16"/>
      <c r="O101" s="16"/>
      <c r="P101" s="16"/>
      <c r="Q101" s="16"/>
      <c r="R101" s="16"/>
      <c r="S101" s="16"/>
      <c r="T101" s="16"/>
    </row>
    <row r="102" spans="1:20" ht="13.2" x14ac:dyDescent="0.25">
      <c r="A102" s="16"/>
      <c r="B102" s="1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16"/>
      <c r="N102" s="16"/>
      <c r="O102" s="16"/>
      <c r="P102" s="16"/>
      <c r="Q102" s="16"/>
      <c r="R102" s="16"/>
      <c r="S102" s="16"/>
      <c r="T102" s="16"/>
    </row>
    <row r="103" spans="1:20" ht="13.2" x14ac:dyDescent="0.25">
      <c r="A103" s="16"/>
      <c r="B103" s="1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16"/>
      <c r="N103" s="16"/>
      <c r="O103" s="16"/>
      <c r="P103" s="16"/>
      <c r="Q103" s="16"/>
      <c r="R103" s="16"/>
      <c r="S103" s="16"/>
      <c r="T103" s="16"/>
    </row>
    <row r="104" spans="1:20" ht="13.2" x14ac:dyDescent="0.25">
      <c r="A104" s="16"/>
      <c r="B104" s="1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16"/>
      <c r="N104" s="16"/>
      <c r="O104" s="16"/>
      <c r="P104" s="16"/>
      <c r="Q104" s="16"/>
      <c r="R104" s="16"/>
      <c r="S104" s="16"/>
      <c r="T104" s="16"/>
    </row>
    <row r="105" spans="1:20" ht="13.2" x14ac:dyDescent="0.25">
      <c r="A105" s="16"/>
      <c r="B105" s="1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16"/>
      <c r="N105" s="16"/>
      <c r="O105" s="16"/>
      <c r="P105" s="16"/>
      <c r="Q105" s="16"/>
      <c r="R105" s="16"/>
      <c r="S105" s="16"/>
      <c r="T105" s="16"/>
    </row>
    <row r="106" spans="1:20" ht="13.2" x14ac:dyDescent="0.25">
      <c r="A106" s="16"/>
      <c r="B106" s="1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16"/>
      <c r="N106" s="16"/>
      <c r="O106" s="16"/>
      <c r="P106" s="16"/>
      <c r="Q106" s="16"/>
      <c r="R106" s="16"/>
      <c r="S106" s="16"/>
      <c r="T106" s="16"/>
    </row>
    <row r="107" spans="1:20" ht="13.2" x14ac:dyDescent="0.25">
      <c r="A107" s="16"/>
      <c r="B107" s="1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16"/>
      <c r="N107" s="16"/>
      <c r="O107" s="16"/>
      <c r="P107" s="16"/>
      <c r="Q107" s="16"/>
      <c r="R107" s="16"/>
      <c r="S107" s="16"/>
      <c r="T107" s="16"/>
    </row>
    <row r="108" spans="1:20" ht="13.2" x14ac:dyDescent="0.25">
      <c r="A108" s="16"/>
      <c r="B108" s="1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16"/>
      <c r="N108" s="16"/>
      <c r="O108" s="16"/>
      <c r="P108" s="16"/>
      <c r="Q108" s="16"/>
      <c r="R108" s="16"/>
      <c r="S108" s="16"/>
      <c r="T108" s="16"/>
    </row>
    <row r="109" spans="1:20" ht="13.2" x14ac:dyDescent="0.25">
      <c r="A109" s="16"/>
      <c r="B109" s="1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16"/>
      <c r="N109" s="16"/>
      <c r="O109" s="16"/>
      <c r="P109" s="16"/>
      <c r="Q109" s="16"/>
      <c r="R109" s="16"/>
      <c r="S109" s="16"/>
      <c r="T109" s="16"/>
    </row>
    <row r="110" spans="1:20" ht="13.2" x14ac:dyDescent="0.25">
      <c r="A110" s="16"/>
      <c r="B110" s="1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16"/>
      <c r="N110" s="16"/>
      <c r="O110" s="16"/>
      <c r="P110" s="16"/>
      <c r="Q110" s="16"/>
      <c r="R110" s="16"/>
      <c r="S110" s="16"/>
      <c r="T110" s="16"/>
    </row>
    <row r="111" spans="1:20" ht="13.2" x14ac:dyDescent="0.25">
      <c r="A111" s="16"/>
      <c r="B111" s="1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16"/>
      <c r="N111" s="16"/>
      <c r="O111" s="16"/>
      <c r="P111" s="16"/>
      <c r="Q111" s="16"/>
      <c r="R111" s="16"/>
      <c r="S111" s="16"/>
      <c r="T111" s="16"/>
    </row>
    <row r="112" spans="1:20" ht="13.2" x14ac:dyDescent="0.25"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3:12" ht="13.2" x14ac:dyDescent="0.25"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spans="3:12" ht="13.2" x14ac:dyDescent="0.25"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3:12" ht="13.2" x14ac:dyDescent="0.25"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spans="3:12" ht="13.2" x14ac:dyDescent="0.25"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3:12" ht="13.2" x14ac:dyDescent="0.25"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3:12" ht="13.2" x14ac:dyDescent="0.25"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3:12" ht="13.2" x14ac:dyDescent="0.25"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spans="3:12" ht="13.2" x14ac:dyDescent="0.25"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spans="3:12" ht="13.2" x14ac:dyDescent="0.25"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spans="3:12" ht="13.2" x14ac:dyDescent="0.25"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3:12" ht="13.2" x14ac:dyDescent="0.25"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3:12" ht="13.2" x14ac:dyDescent="0.25"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3:12" ht="13.2" x14ac:dyDescent="0.25"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3:12" ht="13.2" x14ac:dyDescent="0.25"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spans="3:12" ht="13.2" x14ac:dyDescent="0.25"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 spans="3:12" ht="13.2" x14ac:dyDescent="0.25"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spans="3:12" ht="13.2" x14ac:dyDescent="0.25"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3:12" ht="13.2" x14ac:dyDescent="0.25"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3:12" ht="13.2" x14ac:dyDescent="0.25"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spans="3:12" ht="13.2" x14ac:dyDescent="0.25"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spans="3:12" ht="13.2" x14ac:dyDescent="0.25"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spans="3:12" ht="13.2" x14ac:dyDescent="0.25"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spans="3:12" ht="13.2" x14ac:dyDescent="0.25"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3:12" ht="13.2" x14ac:dyDescent="0.25"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 spans="3:12" ht="13.2" x14ac:dyDescent="0.25">
      <c r="C137" s="8"/>
      <c r="D137" s="8"/>
      <c r="E137" s="8"/>
      <c r="F137" s="8"/>
      <c r="G137" s="8"/>
      <c r="H137" s="8"/>
      <c r="I137" s="8"/>
      <c r="J137" s="8"/>
      <c r="K137" s="8"/>
      <c r="L137" s="8"/>
    </row>
  </sheetData>
  <mergeCells count="75">
    <mergeCell ref="E28:E31"/>
    <mergeCell ref="E32:E35"/>
    <mergeCell ref="E36:E39"/>
    <mergeCell ref="E40:E43"/>
    <mergeCell ref="C28:C31"/>
    <mergeCell ref="C32:C35"/>
    <mergeCell ref="C36:C39"/>
    <mergeCell ref="C40:C43"/>
    <mergeCell ref="D28:D31"/>
    <mergeCell ref="D32:D35"/>
    <mergeCell ref="D36:D39"/>
    <mergeCell ref="D40:D43"/>
    <mergeCell ref="C9:C12"/>
    <mergeCell ref="D9:D12"/>
    <mergeCell ref="E9:E12"/>
    <mergeCell ref="F9:F12"/>
    <mergeCell ref="D13:D16"/>
    <mergeCell ref="E13:E16"/>
    <mergeCell ref="F13:F16"/>
    <mergeCell ref="E44:E47"/>
    <mergeCell ref="F44:F47"/>
    <mergeCell ref="C13:C16"/>
    <mergeCell ref="C25:C27"/>
    <mergeCell ref="D25:D27"/>
    <mergeCell ref="E25:E27"/>
    <mergeCell ref="F25:F27"/>
    <mergeCell ref="C44:C47"/>
    <mergeCell ref="D44:D47"/>
    <mergeCell ref="C17:C24"/>
    <mergeCell ref="D17:D24"/>
    <mergeCell ref="E17:E24"/>
    <mergeCell ref="F17:F24"/>
    <mergeCell ref="F28:F31"/>
    <mergeCell ref="F32:F35"/>
    <mergeCell ref="F36:F39"/>
    <mergeCell ref="C71:C78"/>
    <mergeCell ref="D71:D78"/>
    <mergeCell ref="E71:E78"/>
    <mergeCell ref="F71:F78"/>
    <mergeCell ref="C3:C8"/>
    <mergeCell ref="D3:D8"/>
    <mergeCell ref="E3:E8"/>
    <mergeCell ref="F3:F8"/>
    <mergeCell ref="C48:C51"/>
    <mergeCell ref="D48:D51"/>
    <mergeCell ref="E48:E51"/>
    <mergeCell ref="F48:F51"/>
    <mergeCell ref="D52:D59"/>
    <mergeCell ref="E52:E59"/>
    <mergeCell ref="F52:F59"/>
    <mergeCell ref="C52:C59"/>
    <mergeCell ref="E60:E67"/>
    <mergeCell ref="F60:F67"/>
    <mergeCell ref="C68:C69"/>
    <mergeCell ref="D68:D69"/>
    <mergeCell ref="E68:E69"/>
    <mergeCell ref="F68:F69"/>
    <mergeCell ref="C60:C67"/>
    <mergeCell ref="D60:D67"/>
    <mergeCell ref="F40:F43"/>
    <mergeCell ref="B68:B69"/>
    <mergeCell ref="B71:B78"/>
    <mergeCell ref="B3:B8"/>
    <mergeCell ref="B9:B12"/>
    <mergeCell ref="B13:B16"/>
    <mergeCell ref="B25:B27"/>
    <mergeCell ref="B44:B47"/>
    <mergeCell ref="B48:B51"/>
    <mergeCell ref="B17:B24"/>
    <mergeCell ref="B28:B31"/>
    <mergeCell ref="B32:B35"/>
    <mergeCell ref="B36:B39"/>
    <mergeCell ref="B40:B43"/>
    <mergeCell ref="B52:B59"/>
    <mergeCell ref="B60:B67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F22B-63B5-41B9-A2A5-3731C3071703}">
  <dimension ref="A1:P375"/>
  <sheetViews>
    <sheetView showFormulas="1" topLeftCell="B1" zoomScaleNormal="100" workbookViewId="0">
      <pane ySplit="1" topLeftCell="A29" activePane="bottomLeft" state="frozen"/>
      <selection pane="bottomLeft" activeCell="J18" sqref="J18"/>
    </sheetView>
  </sheetViews>
  <sheetFormatPr defaultRowHeight="13.2" x14ac:dyDescent="0.25"/>
  <cols>
    <col min="1" max="1" width="4.33203125" customWidth="1"/>
    <col min="2" max="2" width="6.21875" customWidth="1"/>
    <col min="3" max="3" width="17.77734375" customWidth="1"/>
    <col min="4" max="4" width="6.6640625" customWidth="1"/>
    <col min="5" max="5" width="6.77734375" customWidth="1"/>
    <col min="6" max="7" width="3.21875" customWidth="1"/>
    <col min="8" max="8" width="3.5546875" customWidth="1"/>
    <col min="9" max="9" width="5.6640625" style="72" customWidth="1"/>
    <col min="10" max="10" width="14.21875" customWidth="1"/>
    <col min="11" max="11" width="6.109375" style="41" customWidth="1"/>
    <col min="12" max="12" width="5.44140625" customWidth="1"/>
    <col min="13" max="13" width="6" customWidth="1"/>
    <col min="14" max="14" width="7.33203125" style="41" customWidth="1"/>
    <col min="15" max="15" width="30.109375" customWidth="1"/>
  </cols>
  <sheetData>
    <row r="1" spans="2:15" s="61" customFormat="1" ht="39.6" x14ac:dyDescent="0.25">
      <c r="B1" s="56" t="s">
        <v>100</v>
      </c>
      <c r="C1" s="57" t="s">
        <v>0</v>
      </c>
      <c r="D1" s="58" t="s">
        <v>144</v>
      </c>
      <c r="E1" s="58" t="s">
        <v>145</v>
      </c>
      <c r="F1" s="58" t="s">
        <v>2</v>
      </c>
      <c r="G1" s="58" t="s">
        <v>13</v>
      </c>
      <c r="H1" s="58" t="s">
        <v>77</v>
      </c>
      <c r="I1" s="70" t="s">
        <v>4</v>
      </c>
      <c r="J1" s="58" t="s">
        <v>5</v>
      </c>
      <c r="K1" s="58" t="s">
        <v>6</v>
      </c>
      <c r="L1" s="58" t="s">
        <v>7</v>
      </c>
      <c r="M1" s="58" t="s">
        <v>8</v>
      </c>
      <c r="N1" s="59" t="s">
        <v>9</v>
      </c>
      <c r="O1" s="60" t="s">
        <v>10</v>
      </c>
    </row>
    <row r="2" spans="2:15" x14ac:dyDescent="0.25">
      <c r="B2" s="114"/>
      <c r="C2" s="119" t="s">
        <v>193</v>
      </c>
      <c r="D2" s="130" t="str">
        <f>DEC2HEX(E2)</f>
        <v>1</v>
      </c>
      <c r="E2" s="119">
        <v>1</v>
      </c>
      <c r="F2" s="119">
        <v>4</v>
      </c>
      <c r="G2" s="123" t="s">
        <v>194</v>
      </c>
      <c r="H2" s="123" t="s">
        <v>146</v>
      </c>
      <c r="I2" s="117" t="s">
        <v>353</v>
      </c>
      <c r="J2" s="43" t="s">
        <v>147</v>
      </c>
      <c r="K2" s="44" t="s">
        <v>169</v>
      </c>
      <c r="L2" s="43"/>
      <c r="M2" s="43">
        <v>0</v>
      </c>
      <c r="N2" s="44">
        <v>2</v>
      </c>
      <c r="O2" s="45"/>
    </row>
    <row r="3" spans="2:15" x14ac:dyDescent="0.25">
      <c r="B3" s="115"/>
      <c r="C3" s="113"/>
      <c r="D3" s="131"/>
      <c r="E3" s="113"/>
      <c r="F3" s="113"/>
      <c r="G3" s="124"/>
      <c r="H3" s="124"/>
      <c r="I3" s="118"/>
      <c r="J3" s="46" t="s">
        <v>148</v>
      </c>
      <c r="K3" s="40" t="s">
        <v>169</v>
      </c>
      <c r="L3" s="46"/>
      <c r="M3" s="46">
        <v>2</v>
      </c>
      <c r="N3" s="37">
        <v>1</v>
      </c>
      <c r="O3" s="47"/>
    </row>
    <row r="4" spans="2:15" x14ac:dyDescent="0.25">
      <c r="B4" s="115"/>
      <c r="C4" s="113"/>
      <c r="D4" s="131"/>
      <c r="E4" s="113"/>
      <c r="F4" s="113"/>
      <c r="G4" s="124"/>
      <c r="H4" s="124"/>
      <c r="I4" s="118"/>
      <c r="J4" s="46" t="s">
        <v>149</v>
      </c>
      <c r="K4" s="40" t="s">
        <v>169</v>
      </c>
      <c r="L4" s="46"/>
      <c r="M4" s="46">
        <v>3</v>
      </c>
      <c r="N4" s="37">
        <v>1</v>
      </c>
      <c r="O4" s="47"/>
    </row>
    <row r="5" spans="2:15" x14ac:dyDescent="0.25">
      <c r="B5" s="115"/>
      <c r="C5" s="113"/>
      <c r="D5" s="131"/>
      <c r="E5" s="113"/>
      <c r="F5" s="113"/>
      <c r="G5" s="124"/>
      <c r="H5" s="124"/>
      <c r="I5" s="118"/>
      <c r="J5" s="46" t="s">
        <v>150</v>
      </c>
      <c r="K5" s="40" t="s">
        <v>169</v>
      </c>
      <c r="L5" s="46"/>
      <c r="M5" s="48">
        <v>4</v>
      </c>
      <c r="N5" s="37">
        <v>1</v>
      </c>
      <c r="O5" s="47"/>
    </row>
    <row r="6" spans="2:15" x14ac:dyDescent="0.25">
      <c r="B6" s="115"/>
      <c r="C6" s="113"/>
      <c r="D6" s="131"/>
      <c r="E6" s="113"/>
      <c r="F6" s="113"/>
      <c r="G6" s="124"/>
      <c r="H6" s="124"/>
      <c r="I6" s="118"/>
      <c r="J6" s="46" t="s">
        <v>151</v>
      </c>
      <c r="K6" s="40" t="s">
        <v>169</v>
      </c>
      <c r="L6" s="46"/>
      <c r="M6" s="48">
        <v>5</v>
      </c>
      <c r="N6" s="37">
        <v>1</v>
      </c>
      <c r="O6" s="47"/>
    </row>
    <row r="7" spans="2:15" x14ac:dyDescent="0.25">
      <c r="B7" s="115"/>
      <c r="C7" s="113"/>
      <c r="D7" s="131"/>
      <c r="E7" s="113"/>
      <c r="F7" s="113"/>
      <c r="G7" s="124"/>
      <c r="H7" s="124"/>
      <c r="I7" s="118"/>
      <c r="J7" s="46" t="s">
        <v>152</v>
      </c>
      <c r="K7" s="40" t="s">
        <v>169</v>
      </c>
      <c r="L7" s="46"/>
      <c r="M7" s="48">
        <v>6</v>
      </c>
      <c r="N7" s="37">
        <v>1</v>
      </c>
      <c r="O7" s="47"/>
    </row>
    <row r="8" spans="2:15" x14ac:dyDescent="0.25">
      <c r="B8" s="115"/>
      <c r="C8" s="113"/>
      <c r="D8" s="131"/>
      <c r="E8" s="113"/>
      <c r="F8" s="113"/>
      <c r="G8" s="124"/>
      <c r="H8" s="124"/>
      <c r="I8" s="118"/>
      <c r="J8" s="46" t="s">
        <v>153</v>
      </c>
      <c r="K8" s="40" t="s">
        <v>169</v>
      </c>
      <c r="L8" s="46"/>
      <c r="M8" s="48">
        <v>7</v>
      </c>
      <c r="N8" s="37">
        <v>1</v>
      </c>
      <c r="O8" s="47"/>
    </row>
    <row r="9" spans="2:15" x14ac:dyDescent="0.25">
      <c r="B9" s="115"/>
      <c r="C9" s="113"/>
      <c r="D9" s="131"/>
      <c r="E9" s="113"/>
      <c r="F9" s="113"/>
      <c r="G9" s="124"/>
      <c r="H9" s="124"/>
      <c r="I9" s="118" t="s">
        <v>382</v>
      </c>
      <c r="J9" s="46" t="s">
        <v>154</v>
      </c>
      <c r="K9" s="40" t="s">
        <v>169</v>
      </c>
      <c r="L9" s="46"/>
      <c r="M9" s="48">
        <v>8</v>
      </c>
      <c r="N9" s="37">
        <v>1</v>
      </c>
      <c r="O9" s="47"/>
    </row>
    <row r="10" spans="2:15" x14ac:dyDescent="0.25">
      <c r="B10" s="115"/>
      <c r="C10" s="113"/>
      <c r="D10" s="131"/>
      <c r="E10" s="113"/>
      <c r="F10" s="113"/>
      <c r="G10" s="124"/>
      <c r="H10" s="124"/>
      <c r="I10" s="118"/>
      <c r="J10" s="46" t="s">
        <v>155</v>
      </c>
      <c r="K10" s="40" t="s">
        <v>169</v>
      </c>
      <c r="L10" s="46"/>
      <c r="M10" s="48">
        <v>9</v>
      </c>
      <c r="N10" s="37">
        <v>1</v>
      </c>
      <c r="O10" s="47"/>
    </row>
    <row r="11" spans="2:15" x14ac:dyDescent="0.25">
      <c r="B11" s="115"/>
      <c r="C11" s="113"/>
      <c r="D11" s="131"/>
      <c r="E11" s="113"/>
      <c r="F11" s="113"/>
      <c r="G11" s="124"/>
      <c r="H11" s="124"/>
      <c r="I11" s="118"/>
      <c r="J11" s="46" t="s">
        <v>156</v>
      </c>
      <c r="K11" s="40" t="s">
        <v>169</v>
      </c>
      <c r="L11" s="46"/>
      <c r="M11" s="48">
        <v>10</v>
      </c>
      <c r="N11" s="37">
        <v>1</v>
      </c>
      <c r="O11" s="47"/>
    </row>
    <row r="12" spans="2:15" x14ac:dyDescent="0.25">
      <c r="B12" s="115"/>
      <c r="C12" s="113"/>
      <c r="D12" s="131"/>
      <c r="E12" s="113"/>
      <c r="F12" s="113"/>
      <c r="G12" s="124"/>
      <c r="H12" s="124"/>
      <c r="I12" s="118"/>
      <c r="J12" s="46" t="s">
        <v>157</v>
      </c>
      <c r="K12" s="40" t="s">
        <v>169</v>
      </c>
      <c r="L12" s="46"/>
      <c r="M12" s="48">
        <v>11</v>
      </c>
      <c r="N12" s="37">
        <v>1</v>
      </c>
      <c r="O12" s="47"/>
    </row>
    <row r="13" spans="2:15" x14ac:dyDescent="0.25">
      <c r="B13" s="115"/>
      <c r="C13" s="113"/>
      <c r="D13" s="131"/>
      <c r="E13" s="113"/>
      <c r="F13" s="113"/>
      <c r="G13" s="124"/>
      <c r="H13" s="124"/>
      <c r="I13" s="118" t="s">
        <v>383</v>
      </c>
      <c r="J13" s="46" t="s">
        <v>168</v>
      </c>
      <c r="K13" s="40" t="s">
        <v>169</v>
      </c>
      <c r="L13" s="46"/>
      <c r="M13" s="46">
        <v>16</v>
      </c>
      <c r="N13" s="37">
        <v>2</v>
      </c>
      <c r="O13" s="47"/>
    </row>
    <row r="14" spans="2:15" x14ac:dyDescent="0.25">
      <c r="B14" s="115"/>
      <c r="C14" s="113"/>
      <c r="D14" s="131"/>
      <c r="E14" s="113"/>
      <c r="F14" s="113"/>
      <c r="G14" s="124"/>
      <c r="H14" s="124"/>
      <c r="I14" s="118"/>
      <c r="J14" s="46" t="s">
        <v>167</v>
      </c>
      <c r="K14" s="40" t="s">
        <v>169</v>
      </c>
      <c r="L14" s="46"/>
      <c r="M14" s="46">
        <v>18</v>
      </c>
      <c r="N14" s="37">
        <v>1</v>
      </c>
      <c r="O14" s="47"/>
    </row>
    <row r="15" spans="2:15" x14ac:dyDescent="0.25">
      <c r="B15" s="115"/>
      <c r="C15" s="113"/>
      <c r="D15" s="131"/>
      <c r="E15" s="113"/>
      <c r="F15" s="113"/>
      <c r="G15" s="124"/>
      <c r="H15" s="124"/>
      <c r="I15" s="118"/>
      <c r="J15" s="46" t="s">
        <v>158</v>
      </c>
      <c r="K15" s="40" t="s">
        <v>169</v>
      </c>
      <c r="L15" s="46"/>
      <c r="M15" s="46">
        <v>19</v>
      </c>
      <c r="N15" s="37">
        <v>1</v>
      </c>
      <c r="O15" s="47"/>
    </row>
    <row r="16" spans="2:15" x14ac:dyDescent="0.25">
      <c r="B16" s="115"/>
      <c r="C16" s="113"/>
      <c r="D16" s="131"/>
      <c r="E16" s="113"/>
      <c r="F16" s="113"/>
      <c r="G16" s="124"/>
      <c r="H16" s="124"/>
      <c r="I16" s="118"/>
      <c r="J16" s="46" t="s">
        <v>159</v>
      </c>
      <c r="K16" s="40" t="s">
        <v>169</v>
      </c>
      <c r="L16" s="46"/>
      <c r="M16" s="48">
        <v>20</v>
      </c>
      <c r="N16" s="37">
        <v>1</v>
      </c>
      <c r="O16" s="47"/>
    </row>
    <row r="17" spans="2:15" x14ac:dyDescent="0.25">
      <c r="B17" s="115"/>
      <c r="C17" s="113"/>
      <c r="D17" s="131"/>
      <c r="E17" s="113"/>
      <c r="F17" s="113"/>
      <c r="G17" s="124"/>
      <c r="H17" s="124"/>
      <c r="I17" s="118"/>
      <c r="J17" s="46" t="s">
        <v>160</v>
      </c>
      <c r="K17" s="40" t="s">
        <v>169</v>
      </c>
      <c r="L17" s="46"/>
      <c r="M17" s="48">
        <v>21</v>
      </c>
      <c r="N17" s="37">
        <v>1</v>
      </c>
      <c r="O17" s="47"/>
    </row>
    <row r="18" spans="2:15" x14ac:dyDescent="0.25">
      <c r="B18" s="115"/>
      <c r="C18" s="113"/>
      <c r="D18" s="131"/>
      <c r="E18" s="113"/>
      <c r="F18" s="113"/>
      <c r="G18" s="124"/>
      <c r="H18" s="124"/>
      <c r="I18" s="118"/>
      <c r="J18" s="46" t="s">
        <v>161</v>
      </c>
      <c r="K18" s="40" t="s">
        <v>169</v>
      </c>
      <c r="L18" s="46"/>
      <c r="M18" s="48">
        <v>22</v>
      </c>
      <c r="N18" s="37">
        <v>1</v>
      </c>
      <c r="O18" s="47"/>
    </row>
    <row r="19" spans="2:15" x14ac:dyDescent="0.25">
      <c r="B19" s="115"/>
      <c r="C19" s="113"/>
      <c r="D19" s="131"/>
      <c r="E19" s="113"/>
      <c r="F19" s="113"/>
      <c r="G19" s="124"/>
      <c r="H19" s="124"/>
      <c r="I19" s="118"/>
      <c r="J19" s="46" t="s">
        <v>162</v>
      </c>
      <c r="K19" s="40" t="s">
        <v>169</v>
      </c>
      <c r="L19" s="46"/>
      <c r="M19" s="48">
        <v>23</v>
      </c>
      <c r="N19" s="37">
        <v>1</v>
      </c>
      <c r="O19" s="47"/>
    </row>
    <row r="20" spans="2:15" x14ac:dyDescent="0.25">
      <c r="B20" s="115"/>
      <c r="C20" s="113"/>
      <c r="D20" s="131"/>
      <c r="E20" s="113"/>
      <c r="F20" s="113"/>
      <c r="G20" s="124"/>
      <c r="H20" s="124"/>
      <c r="I20" s="118" t="s">
        <v>384</v>
      </c>
      <c r="J20" s="46" t="s">
        <v>163</v>
      </c>
      <c r="K20" s="40" t="s">
        <v>169</v>
      </c>
      <c r="L20" s="46"/>
      <c r="M20" s="48">
        <v>24</v>
      </c>
      <c r="N20" s="37">
        <v>1</v>
      </c>
      <c r="O20" s="47"/>
    </row>
    <row r="21" spans="2:15" x14ac:dyDescent="0.25">
      <c r="B21" s="115"/>
      <c r="C21" s="113"/>
      <c r="D21" s="131"/>
      <c r="E21" s="113"/>
      <c r="F21" s="113"/>
      <c r="G21" s="124"/>
      <c r="H21" s="124"/>
      <c r="I21" s="118"/>
      <c r="J21" s="46" t="s">
        <v>164</v>
      </c>
      <c r="K21" s="40" t="s">
        <v>169</v>
      </c>
      <c r="L21" s="46"/>
      <c r="M21" s="48">
        <v>25</v>
      </c>
      <c r="N21" s="37">
        <v>1</v>
      </c>
      <c r="O21" s="47"/>
    </row>
    <row r="22" spans="2:15" x14ac:dyDescent="0.25">
      <c r="B22" s="115"/>
      <c r="C22" s="113"/>
      <c r="D22" s="131"/>
      <c r="E22" s="113"/>
      <c r="F22" s="113"/>
      <c r="G22" s="124"/>
      <c r="H22" s="124"/>
      <c r="I22" s="118"/>
      <c r="J22" s="46" t="s">
        <v>165</v>
      </c>
      <c r="K22" s="40" t="s">
        <v>169</v>
      </c>
      <c r="L22" s="46"/>
      <c r="M22" s="48">
        <v>26</v>
      </c>
      <c r="N22" s="37">
        <v>1</v>
      </c>
      <c r="O22" s="47"/>
    </row>
    <row r="23" spans="2:15" x14ac:dyDescent="0.25">
      <c r="B23" s="116"/>
      <c r="C23" s="120"/>
      <c r="D23" s="132"/>
      <c r="E23" s="120"/>
      <c r="F23" s="120"/>
      <c r="G23" s="125"/>
      <c r="H23" s="125"/>
      <c r="I23" s="126"/>
      <c r="J23" s="49" t="s">
        <v>166</v>
      </c>
      <c r="K23" s="50" t="s">
        <v>169</v>
      </c>
      <c r="L23" s="49"/>
      <c r="M23" s="48">
        <v>27</v>
      </c>
      <c r="N23" s="50">
        <v>1</v>
      </c>
      <c r="O23" s="51"/>
    </row>
    <row r="24" spans="2:15" x14ac:dyDescent="0.25">
      <c r="B24" s="114"/>
      <c r="C24" s="119" t="s">
        <v>192</v>
      </c>
      <c r="D24" s="119" t="str">
        <f>DEC2HEX(E24)</f>
        <v>2</v>
      </c>
      <c r="E24" s="119">
        <v>2</v>
      </c>
      <c r="F24" s="119">
        <v>4</v>
      </c>
      <c r="G24" s="123" t="s">
        <v>195</v>
      </c>
      <c r="H24" s="123" t="s">
        <v>146</v>
      </c>
      <c r="I24" s="117" t="s">
        <v>353</v>
      </c>
      <c r="J24" s="43" t="s">
        <v>170</v>
      </c>
      <c r="K24" s="44" t="s">
        <v>169</v>
      </c>
      <c r="L24" s="43"/>
      <c r="M24" s="43">
        <v>0</v>
      </c>
      <c r="N24" s="44">
        <v>2</v>
      </c>
      <c r="O24" s="45"/>
    </row>
    <row r="25" spans="2:15" x14ac:dyDescent="0.25">
      <c r="B25" s="115"/>
      <c r="C25" s="113"/>
      <c r="D25" s="113"/>
      <c r="E25" s="113"/>
      <c r="F25" s="113"/>
      <c r="G25" s="124"/>
      <c r="H25" s="124"/>
      <c r="I25" s="118"/>
      <c r="J25" s="46" t="s">
        <v>171</v>
      </c>
      <c r="K25" s="40" t="s">
        <v>169</v>
      </c>
      <c r="L25" s="46"/>
      <c r="M25" s="46">
        <v>2</v>
      </c>
      <c r="N25" s="37">
        <v>1</v>
      </c>
      <c r="O25" s="47"/>
    </row>
    <row r="26" spans="2:15" x14ac:dyDescent="0.25">
      <c r="B26" s="115"/>
      <c r="C26" s="113"/>
      <c r="D26" s="113"/>
      <c r="E26" s="113"/>
      <c r="F26" s="113"/>
      <c r="G26" s="124"/>
      <c r="H26" s="124"/>
      <c r="I26" s="118"/>
      <c r="J26" s="46" t="s">
        <v>172</v>
      </c>
      <c r="K26" s="40" t="s">
        <v>169</v>
      </c>
      <c r="L26" s="46"/>
      <c r="M26" s="46">
        <v>3</v>
      </c>
      <c r="N26" s="37">
        <v>1</v>
      </c>
      <c r="O26" s="47"/>
    </row>
    <row r="27" spans="2:15" x14ac:dyDescent="0.25">
      <c r="B27" s="115"/>
      <c r="C27" s="113"/>
      <c r="D27" s="113"/>
      <c r="E27" s="113"/>
      <c r="F27" s="113"/>
      <c r="G27" s="124"/>
      <c r="H27" s="124"/>
      <c r="I27" s="118"/>
      <c r="J27" s="46" t="s">
        <v>173</v>
      </c>
      <c r="K27" s="40" t="s">
        <v>169</v>
      </c>
      <c r="L27" s="46"/>
      <c r="M27" s="48">
        <v>4</v>
      </c>
      <c r="N27" s="37">
        <v>1</v>
      </c>
      <c r="O27" s="47"/>
    </row>
    <row r="28" spans="2:15" x14ac:dyDescent="0.25">
      <c r="B28" s="115"/>
      <c r="C28" s="113"/>
      <c r="D28" s="113"/>
      <c r="E28" s="113"/>
      <c r="F28" s="113"/>
      <c r="G28" s="124"/>
      <c r="H28" s="124"/>
      <c r="I28" s="118"/>
      <c r="J28" s="46" t="s">
        <v>174</v>
      </c>
      <c r="K28" s="40" t="s">
        <v>169</v>
      </c>
      <c r="L28" s="46"/>
      <c r="M28" s="48">
        <v>5</v>
      </c>
      <c r="N28" s="37">
        <v>1</v>
      </c>
      <c r="O28" s="47"/>
    </row>
    <row r="29" spans="2:15" x14ac:dyDescent="0.25">
      <c r="B29" s="115"/>
      <c r="C29" s="113"/>
      <c r="D29" s="113"/>
      <c r="E29" s="113"/>
      <c r="F29" s="113"/>
      <c r="G29" s="124"/>
      <c r="H29" s="124"/>
      <c r="I29" s="118"/>
      <c r="J29" s="46" t="s">
        <v>175</v>
      </c>
      <c r="K29" s="40" t="s">
        <v>169</v>
      </c>
      <c r="L29" s="46"/>
      <c r="M29" s="48">
        <v>6</v>
      </c>
      <c r="N29" s="37">
        <v>1</v>
      </c>
      <c r="O29" s="47"/>
    </row>
    <row r="30" spans="2:15" x14ac:dyDescent="0.25">
      <c r="B30" s="115"/>
      <c r="C30" s="113"/>
      <c r="D30" s="113"/>
      <c r="E30" s="113"/>
      <c r="F30" s="113"/>
      <c r="G30" s="124"/>
      <c r="H30" s="124"/>
      <c r="I30" s="118"/>
      <c r="J30" s="46" t="s">
        <v>176</v>
      </c>
      <c r="K30" s="40" t="s">
        <v>169</v>
      </c>
      <c r="L30" s="46"/>
      <c r="M30" s="48">
        <v>7</v>
      </c>
      <c r="N30" s="37">
        <v>1</v>
      </c>
      <c r="O30" s="47"/>
    </row>
    <row r="31" spans="2:15" x14ac:dyDescent="0.25">
      <c r="B31" s="115"/>
      <c r="C31" s="113"/>
      <c r="D31" s="113"/>
      <c r="E31" s="113"/>
      <c r="F31" s="113"/>
      <c r="G31" s="124"/>
      <c r="H31" s="124"/>
      <c r="I31" s="118" t="s">
        <v>382</v>
      </c>
      <c r="J31" s="46" t="s">
        <v>177</v>
      </c>
      <c r="K31" s="40" t="s">
        <v>169</v>
      </c>
      <c r="L31" s="46"/>
      <c r="M31" s="48">
        <v>8</v>
      </c>
      <c r="N31" s="37">
        <v>1</v>
      </c>
      <c r="O31" s="47"/>
    </row>
    <row r="32" spans="2:15" x14ac:dyDescent="0.25">
      <c r="B32" s="115"/>
      <c r="C32" s="113"/>
      <c r="D32" s="113"/>
      <c r="E32" s="113"/>
      <c r="F32" s="113"/>
      <c r="G32" s="124"/>
      <c r="H32" s="124"/>
      <c r="I32" s="118"/>
      <c r="J32" s="46" t="s">
        <v>178</v>
      </c>
      <c r="K32" s="40" t="s">
        <v>169</v>
      </c>
      <c r="L32" s="46"/>
      <c r="M32" s="48">
        <v>9</v>
      </c>
      <c r="N32" s="37">
        <v>1</v>
      </c>
      <c r="O32" s="47"/>
    </row>
    <row r="33" spans="2:15" x14ac:dyDescent="0.25">
      <c r="B33" s="115"/>
      <c r="C33" s="113"/>
      <c r="D33" s="113"/>
      <c r="E33" s="113"/>
      <c r="F33" s="113"/>
      <c r="G33" s="124"/>
      <c r="H33" s="124"/>
      <c r="I33" s="118"/>
      <c r="J33" s="46" t="s">
        <v>179</v>
      </c>
      <c r="K33" s="40" t="s">
        <v>169</v>
      </c>
      <c r="L33" s="46"/>
      <c r="M33" s="48">
        <v>10</v>
      </c>
      <c r="N33" s="37">
        <v>1</v>
      </c>
      <c r="O33" s="47"/>
    </row>
    <row r="34" spans="2:15" x14ac:dyDescent="0.25">
      <c r="B34" s="115"/>
      <c r="C34" s="113"/>
      <c r="D34" s="113"/>
      <c r="E34" s="113"/>
      <c r="F34" s="113"/>
      <c r="G34" s="124"/>
      <c r="H34" s="124"/>
      <c r="I34" s="118"/>
      <c r="J34" s="46" t="s">
        <v>180</v>
      </c>
      <c r="K34" s="40" t="s">
        <v>169</v>
      </c>
      <c r="L34" s="46"/>
      <c r="M34" s="48">
        <v>11</v>
      </c>
      <c r="N34" s="37">
        <v>1</v>
      </c>
      <c r="O34" s="47"/>
    </row>
    <row r="35" spans="2:15" x14ac:dyDescent="0.25">
      <c r="B35" s="115"/>
      <c r="C35" s="113"/>
      <c r="D35" s="113"/>
      <c r="E35" s="113"/>
      <c r="F35" s="113"/>
      <c r="G35" s="124"/>
      <c r="H35" s="124"/>
      <c r="I35" s="118" t="s">
        <v>383</v>
      </c>
      <c r="J35" s="46" t="s">
        <v>181</v>
      </c>
      <c r="K35" s="40" t="s">
        <v>169</v>
      </c>
      <c r="L35" s="46"/>
      <c r="M35" s="46">
        <v>16</v>
      </c>
      <c r="N35" s="37">
        <v>2</v>
      </c>
      <c r="O35" s="47"/>
    </row>
    <row r="36" spans="2:15" x14ac:dyDescent="0.25">
      <c r="B36" s="115"/>
      <c r="C36" s="113"/>
      <c r="D36" s="113"/>
      <c r="E36" s="113"/>
      <c r="F36" s="113"/>
      <c r="G36" s="124"/>
      <c r="H36" s="124"/>
      <c r="I36" s="118"/>
      <c r="J36" s="46" t="s">
        <v>182</v>
      </c>
      <c r="K36" s="40" t="s">
        <v>169</v>
      </c>
      <c r="L36" s="46"/>
      <c r="M36" s="46">
        <v>18</v>
      </c>
      <c r="N36" s="37">
        <v>1</v>
      </c>
      <c r="O36" s="47"/>
    </row>
    <row r="37" spans="2:15" x14ac:dyDescent="0.25">
      <c r="B37" s="115"/>
      <c r="C37" s="113"/>
      <c r="D37" s="113"/>
      <c r="E37" s="113"/>
      <c r="F37" s="113"/>
      <c r="G37" s="124"/>
      <c r="H37" s="124"/>
      <c r="I37" s="118"/>
      <c r="J37" s="46" t="s">
        <v>183</v>
      </c>
      <c r="K37" s="40" t="s">
        <v>169</v>
      </c>
      <c r="L37" s="46"/>
      <c r="M37" s="46">
        <v>19</v>
      </c>
      <c r="N37" s="37">
        <v>1</v>
      </c>
      <c r="O37" s="47"/>
    </row>
    <row r="38" spans="2:15" x14ac:dyDescent="0.25">
      <c r="B38" s="115"/>
      <c r="C38" s="113"/>
      <c r="D38" s="113"/>
      <c r="E38" s="113"/>
      <c r="F38" s="113"/>
      <c r="G38" s="124"/>
      <c r="H38" s="124"/>
      <c r="I38" s="118"/>
      <c r="J38" s="46" t="s">
        <v>184</v>
      </c>
      <c r="K38" s="40" t="s">
        <v>169</v>
      </c>
      <c r="L38" s="46"/>
      <c r="M38" s="48">
        <v>20</v>
      </c>
      <c r="N38" s="37">
        <v>1</v>
      </c>
      <c r="O38" s="47"/>
    </row>
    <row r="39" spans="2:15" x14ac:dyDescent="0.25">
      <c r="B39" s="115"/>
      <c r="C39" s="113"/>
      <c r="D39" s="113"/>
      <c r="E39" s="113"/>
      <c r="F39" s="113"/>
      <c r="G39" s="124"/>
      <c r="H39" s="124"/>
      <c r="I39" s="118"/>
      <c r="J39" s="46" t="s">
        <v>185</v>
      </c>
      <c r="K39" s="40" t="s">
        <v>169</v>
      </c>
      <c r="L39" s="46"/>
      <c r="M39" s="48">
        <v>21</v>
      </c>
      <c r="N39" s="37">
        <v>1</v>
      </c>
      <c r="O39" s="47"/>
    </row>
    <row r="40" spans="2:15" x14ac:dyDescent="0.25">
      <c r="B40" s="115"/>
      <c r="C40" s="113"/>
      <c r="D40" s="113"/>
      <c r="E40" s="113"/>
      <c r="F40" s="113"/>
      <c r="G40" s="124"/>
      <c r="H40" s="124"/>
      <c r="I40" s="118"/>
      <c r="J40" s="46" t="s">
        <v>186</v>
      </c>
      <c r="K40" s="40" t="s">
        <v>169</v>
      </c>
      <c r="L40" s="46"/>
      <c r="M40" s="48">
        <v>22</v>
      </c>
      <c r="N40" s="37">
        <v>1</v>
      </c>
      <c r="O40" s="47"/>
    </row>
    <row r="41" spans="2:15" x14ac:dyDescent="0.25">
      <c r="B41" s="115"/>
      <c r="C41" s="113"/>
      <c r="D41" s="113"/>
      <c r="E41" s="113"/>
      <c r="F41" s="113"/>
      <c r="G41" s="124"/>
      <c r="H41" s="124"/>
      <c r="I41" s="118"/>
      <c r="J41" s="46" t="s">
        <v>187</v>
      </c>
      <c r="K41" s="40" t="s">
        <v>169</v>
      </c>
      <c r="L41" s="46"/>
      <c r="M41" s="48">
        <v>23</v>
      </c>
      <c r="N41" s="37">
        <v>1</v>
      </c>
      <c r="O41" s="47"/>
    </row>
    <row r="42" spans="2:15" x14ac:dyDescent="0.25">
      <c r="B42" s="115"/>
      <c r="C42" s="113"/>
      <c r="D42" s="113"/>
      <c r="E42" s="113"/>
      <c r="F42" s="113"/>
      <c r="G42" s="124"/>
      <c r="H42" s="124"/>
      <c r="I42" s="118" t="s">
        <v>384</v>
      </c>
      <c r="J42" s="46" t="s">
        <v>188</v>
      </c>
      <c r="K42" s="40" t="s">
        <v>169</v>
      </c>
      <c r="L42" s="46"/>
      <c r="M42" s="48">
        <v>24</v>
      </c>
      <c r="N42" s="37">
        <v>1</v>
      </c>
      <c r="O42" s="47"/>
    </row>
    <row r="43" spans="2:15" x14ac:dyDescent="0.25">
      <c r="B43" s="115"/>
      <c r="C43" s="113"/>
      <c r="D43" s="113"/>
      <c r="E43" s="113"/>
      <c r="F43" s="113"/>
      <c r="G43" s="124"/>
      <c r="H43" s="124"/>
      <c r="I43" s="118"/>
      <c r="J43" s="46" t="s">
        <v>189</v>
      </c>
      <c r="K43" s="40" t="s">
        <v>169</v>
      </c>
      <c r="L43" s="46"/>
      <c r="M43" s="48">
        <v>25</v>
      </c>
      <c r="N43" s="37">
        <v>1</v>
      </c>
      <c r="O43" s="47"/>
    </row>
    <row r="44" spans="2:15" x14ac:dyDescent="0.25">
      <c r="B44" s="115"/>
      <c r="C44" s="113"/>
      <c r="D44" s="113"/>
      <c r="E44" s="113"/>
      <c r="F44" s="113"/>
      <c r="G44" s="124"/>
      <c r="H44" s="124"/>
      <c r="I44" s="118"/>
      <c r="J44" s="46" t="s">
        <v>190</v>
      </c>
      <c r="K44" s="40" t="s">
        <v>169</v>
      </c>
      <c r="L44" s="46"/>
      <c r="M44" s="48">
        <v>26</v>
      </c>
      <c r="N44" s="37">
        <v>1</v>
      </c>
      <c r="O44" s="47"/>
    </row>
    <row r="45" spans="2:15" x14ac:dyDescent="0.25">
      <c r="B45" s="116"/>
      <c r="C45" s="120"/>
      <c r="D45" s="120"/>
      <c r="E45" s="120"/>
      <c r="F45" s="120"/>
      <c r="G45" s="125"/>
      <c r="H45" s="125"/>
      <c r="I45" s="126"/>
      <c r="J45" s="49" t="s">
        <v>191</v>
      </c>
      <c r="K45" s="50" t="s">
        <v>169</v>
      </c>
      <c r="L45" s="49"/>
      <c r="M45" s="48">
        <v>27</v>
      </c>
      <c r="N45" s="50">
        <v>1</v>
      </c>
      <c r="O45" s="51"/>
    </row>
    <row r="46" spans="2:15" x14ac:dyDescent="0.25">
      <c r="B46" s="114"/>
      <c r="C46" s="119" t="s">
        <v>260</v>
      </c>
      <c r="D46" s="119" t="str">
        <f>DEC2HEX(E46)</f>
        <v>3</v>
      </c>
      <c r="E46" s="119">
        <v>3</v>
      </c>
      <c r="F46" s="119">
        <v>4</v>
      </c>
      <c r="G46" s="123" t="s">
        <v>254</v>
      </c>
      <c r="H46" s="123" t="s">
        <v>146</v>
      </c>
      <c r="I46" s="117" t="s">
        <v>353</v>
      </c>
      <c r="J46" s="43" t="s">
        <v>196</v>
      </c>
      <c r="K46" s="44" t="s">
        <v>169</v>
      </c>
      <c r="L46" s="43"/>
      <c r="M46" s="43">
        <v>0</v>
      </c>
      <c r="N46" s="44">
        <v>2</v>
      </c>
      <c r="O46" s="45"/>
    </row>
    <row r="47" spans="2:15" x14ac:dyDescent="0.25">
      <c r="B47" s="115"/>
      <c r="C47" s="113"/>
      <c r="D47" s="113"/>
      <c r="E47" s="113"/>
      <c r="F47" s="113"/>
      <c r="G47" s="124"/>
      <c r="H47" s="124"/>
      <c r="I47" s="118"/>
      <c r="J47" s="46" t="s">
        <v>197</v>
      </c>
      <c r="K47" s="40" t="s">
        <v>169</v>
      </c>
      <c r="L47" s="46"/>
      <c r="M47" s="46">
        <v>2</v>
      </c>
      <c r="N47" s="37">
        <v>1</v>
      </c>
      <c r="O47" s="47"/>
    </row>
    <row r="48" spans="2:15" x14ac:dyDescent="0.25">
      <c r="B48" s="115"/>
      <c r="C48" s="113"/>
      <c r="D48" s="113"/>
      <c r="E48" s="113"/>
      <c r="F48" s="113"/>
      <c r="G48" s="124"/>
      <c r="H48" s="124"/>
      <c r="I48" s="118"/>
      <c r="J48" s="46" t="s">
        <v>198</v>
      </c>
      <c r="K48" s="40" t="s">
        <v>169</v>
      </c>
      <c r="L48" s="46"/>
      <c r="M48" s="46">
        <v>3</v>
      </c>
      <c r="N48" s="37">
        <v>1</v>
      </c>
      <c r="O48" s="47"/>
    </row>
    <row r="49" spans="2:15" x14ac:dyDescent="0.25">
      <c r="B49" s="115"/>
      <c r="C49" s="113"/>
      <c r="D49" s="113"/>
      <c r="E49" s="113"/>
      <c r="F49" s="113"/>
      <c r="G49" s="124"/>
      <c r="H49" s="124"/>
      <c r="I49" s="118"/>
      <c r="J49" s="46" t="s">
        <v>199</v>
      </c>
      <c r="K49" s="40" t="s">
        <v>169</v>
      </c>
      <c r="L49" s="46"/>
      <c r="M49" s="48">
        <v>4</v>
      </c>
      <c r="N49" s="37">
        <v>1</v>
      </c>
      <c r="O49" s="47"/>
    </row>
    <row r="50" spans="2:15" x14ac:dyDescent="0.25">
      <c r="B50" s="115"/>
      <c r="C50" s="113"/>
      <c r="D50" s="113"/>
      <c r="E50" s="113"/>
      <c r="F50" s="113"/>
      <c r="G50" s="124"/>
      <c r="H50" s="124"/>
      <c r="I50" s="118"/>
      <c r="J50" s="46" t="s">
        <v>200</v>
      </c>
      <c r="K50" s="40" t="s">
        <v>169</v>
      </c>
      <c r="L50" s="46"/>
      <c r="M50" s="48">
        <v>5</v>
      </c>
      <c r="N50" s="37">
        <v>1</v>
      </c>
      <c r="O50" s="47"/>
    </row>
    <row r="51" spans="2:15" x14ac:dyDescent="0.25">
      <c r="B51" s="115"/>
      <c r="C51" s="113"/>
      <c r="D51" s="113"/>
      <c r="E51" s="113"/>
      <c r="F51" s="113"/>
      <c r="G51" s="124"/>
      <c r="H51" s="124"/>
      <c r="I51" s="118"/>
      <c r="J51" s="46" t="s">
        <v>201</v>
      </c>
      <c r="K51" s="40" t="s">
        <v>169</v>
      </c>
      <c r="L51" s="46"/>
      <c r="M51" s="48">
        <v>6</v>
      </c>
      <c r="N51" s="37">
        <v>1</v>
      </c>
      <c r="O51" s="47"/>
    </row>
    <row r="52" spans="2:15" x14ac:dyDescent="0.25">
      <c r="B52" s="115"/>
      <c r="C52" s="113"/>
      <c r="D52" s="113"/>
      <c r="E52" s="113"/>
      <c r="F52" s="113"/>
      <c r="G52" s="124"/>
      <c r="H52" s="124"/>
      <c r="I52" s="118"/>
      <c r="J52" s="46" t="s">
        <v>202</v>
      </c>
      <c r="K52" s="40" t="s">
        <v>169</v>
      </c>
      <c r="L52" s="46"/>
      <c r="M52" s="48">
        <v>7</v>
      </c>
      <c r="N52" s="37">
        <v>1</v>
      </c>
      <c r="O52" s="47"/>
    </row>
    <row r="53" spans="2:15" x14ac:dyDescent="0.25">
      <c r="B53" s="115"/>
      <c r="C53" s="113"/>
      <c r="D53" s="113"/>
      <c r="E53" s="113"/>
      <c r="F53" s="113"/>
      <c r="G53" s="124"/>
      <c r="H53" s="124"/>
      <c r="I53" s="118" t="s">
        <v>382</v>
      </c>
      <c r="J53" s="46" t="s">
        <v>203</v>
      </c>
      <c r="K53" s="40" t="s">
        <v>169</v>
      </c>
      <c r="L53" s="46"/>
      <c r="M53" s="48">
        <v>8</v>
      </c>
      <c r="N53" s="37">
        <v>1</v>
      </c>
      <c r="O53" s="47"/>
    </row>
    <row r="54" spans="2:15" x14ac:dyDescent="0.25">
      <c r="B54" s="115"/>
      <c r="C54" s="113"/>
      <c r="D54" s="113"/>
      <c r="E54" s="113"/>
      <c r="F54" s="113"/>
      <c r="G54" s="124"/>
      <c r="H54" s="124"/>
      <c r="I54" s="118"/>
      <c r="J54" s="46" t="s">
        <v>204</v>
      </c>
      <c r="K54" s="40" t="s">
        <v>169</v>
      </c>
      <c r="L54" s="46"/>
      <c r="M54" s="48">
        <v>9</v>
      </c>
      <c r="N54" s="37">
        <v>1</v>
      </c>
      <c r="O54" s="47"/>
    </row>
    <row r="55" spans="2:15" x14ac:dyDescent="0.25">
      <c r="B55" s="115"/>
      <c r="C55" s="113"/>
      <c r="D55" s="113"/>
      <c r="E55" s="113"/>
      <c r="F55" s="113"/>
      <c r="G55" s="124"/>
      <c r="H55" s="124"/>
      <c r="I55" s="118"/>
      <c r="J55" s="46" t="s">
        <v>205</v>
      </c>
      <c r="K55" s="40" t="s">
        <v>169</v>
      </c>
      <c r="L55" s="46"/>
      <c r="M55" s="48">
        <v>10</v>
      </c>
      <c r="N55" s="37">
        <v>1</v>
      </c>
      <c r="O55" s="47"/>
    </row>
    <row r="56" spans="2:15" x14ac:dyDescent="0.25">
      <c r="B56" s="115"/>
      <c r="C56" s="113"/>
      <c r="D56" s="113"/>
      <c r="E56" s="113"/>
      <c r="F56" s="113"/>
      <c r="G56" s="124"/>
      <c r="H56" s="124"/>
      <c r="I56" s="118"/>
      <c r="J56" s="46" t="s">
        <v>206</v>
      </c>
      <c r="K56" s="40" t="s">
        <v>169</v>
      </c>
      <c r="L56" s="46"/>
      <c r="M56" s="48">
        <v>11</v>
      </c>
      <c r="N56" s="37">
        <v>1</v>
      </c>
      <c r="O56" s="47"/>
    </row>
    <row r="57" spans="2:15" x14ac:dyDescent="0.25">
      <c r="B57" s="115"/>
      <c r="C57" s="113"/>
      <c r="D57" s="113"/>
      <c r="E57" s="113"/>
      <c r="F57" s="113"/>
      <c r="G57" s="124"/>
      <c r="H57" s="124"/>
      <c r="I57" s="118" t="s">
        <v>383</v>
      </c>
      <c r="J57" s="46" t="s">
        <v>207</v>
      </c>
      <c r="K57" s="40" t="s">
        <v>169</v>
      </c>
      <c r="L57" s="46"/>
      <c r="M57" s="46">
        <v>16</v>
      </c>
      <c r="N57" s="37">
        <v>2</v>
      </c>
      <c r="O57" s="47"/>
    </row>
    <row r="58" spans="2:15" x14ac:dyDescent="0.25">
      <c r="B58" s="115"/>
      <c r="C58" s="113"/>
      <c r="D58" s="113"/>
      <c r="E58" s="113"/>
      <c r="F58" s="113"/>
      <c r="G58" s="124"/>
      <c r="H58" s="124"/>
      <c r="I58" s="118"/>
      <c r="J58" s="46" t="s">
        <v>208</v>
      </c>
      <c r="K58" s="40" t="s">
        <v>169</v>
      </c>
      <c r="L58" s="46"/>
      <c r="M58" s="46">
        <v>18</v>
      </c>
      <c r="N58" s="37">
        <v>1</v>
      </c>
      <c r="O58" s="47"/>
    </row>
    <row r="59" spans="2:15" x14ac:dyDescent="0.25">
      <c r="B59" s="115"/>
      <c r="C59" s="113"/>
      <c r="D59" s="113"/>
      <c r="E59" s="113"/>
      <c r="F59" s="113"/>
      <c r="G59" s="124"/>
      <c r="H59" s="124"/>
      <c r="I59" s="118"/>
      <c r="J59" s="46" t="s">
        <v>209</v>
      </c>
      <c r="K59" s="40" t="s">
        <v>169</v>
      </c>
      <c r="L59" s="46"/>
      <c r="M59" s="46">
        <v>19</v>
      </c>
      <c r="N59" s="37">
        <v>1</v>
      </c>
      <c r="O59" s="47"/>
    </row>
    <row r="60" spans="2:15" x14ac:dyDescent="0.25">
      <c r="B60" s="115"/>
      <c r="C60" s="113"/>
      <c r="D60" s="113"/>
      <c r="E60" s="113"/>
      <c r="F60" s="113"/>
      <c r="G60" s="124"/>
      <c r="H60" s="124"/>
      <c r="I60" s="118"/>
      <c r="J60" s="46" t="s">
        <v>210</v>
      </c>
      <c r="K60" s="40" t="s">
        <v>169</v>
      </c>
      <c r="L60" s="46"/>
      <c r="M60" s="48">
        <v>20</v>
      </c>
      <c r="N60" s="37">
        <v>1</v>
      </c>
      <c r="O60" s="47"/>
    </row>
    <row r="61" spans="2:15" x14ac:dyDescent="0.25">
      <c r="B61" s="115"/>
      <c r="C61" s="113"/>
      <c r="D61" s="113"/>
      <c r="E61" s="113"/>
      <c r="F61" s="113"/>
      <c r="G61" s="124"/>
      <c r="H61" s="124"/>
      <c r="I61" s="118"/>
      <c r="J61" s="46" t="s">
        <v>211</v>
      </c>
      <c r="K61" s="40" t="s">
        <v>169</v>
      </c>
      <c r="L61" s="46"/>
      <c r="M61" s="48">
        <v>21</v>
      </c>
      <c r="N61" s="37">
        <v>1</v>
      </c>
      <c r="O61" s="47"/>
    </row>
    <row r="62" spans="2:15" x14ac:dyDescent="0.25">
      <c r="B62" s="115"/>
      <c r="C62" s="113"/>
      <c r="D62" s="113"/>
      <c r="E62" s="113"/>
      <c r="F62" s="113"/>
      <c r="G62" s="124"/>
      <c r="H62" s="124"/>
      <c r="I62" s="118"/>
      <c r="J62" s="46" t="s">
        <v>212</v>
      </c>
      <c r="K62" s="40" t="s">
        <v>169</v>
      </c>
      <c r="L62" s="46"/>
      <c r="M62" s="48">
        <v>22</v>
      </c>
      <c r="N62" s="37">
        <v>1</v>
      </c>
      <c r="O62" s="47"/>
    </row>
    <row r="63" spans="2:15" x14ac:dyDescent="0.25">
      <c r="B63" s="115"/>
      <c r="C63" s="113"/>
      <c r="D63" s="113"/>
      <c r="E63" s="113"/>
      <c r="F63" s="113"/>
      <c r="G63" s="124"/>
      <c r="H63" s="124"/>
      <c r="I63" s="118"/>
      <c r="J63" s="46" t="s">
        <v>213</v>
      </c>
      <c r="K63" s="40" t="s">
        <v>169</v>
      </c>
      <c r="L63" s="46"/>
      <c r="M63" s="48">
        <v>23</v>
      </c>
      <c r="N63" s="37">
        <v>1</v>
      </c>
      <c r="O63" s="47"/>
    </row>
    <row r="64" spans="2:15" x14ac:dyDescent="0.25">
      <c r="B64" s="115"/>
      <c r="C64" s="113"/>
      <c r="D64" s="113"/>
      <c r="E64" s="113"/>
      <c r="F64" s="113"/>
      <c r="G64" s="124"/>
      <c r="H64" s="124"/>
      <c r="I64" s="118" t="s">
        <v>384</v>
      </c>
      <c r="J64" s="46" t="s">
        <v>214</v>
      </c>
      <c r="K64" s="40" t="s">
        <v>169</v>
      </c>
      <c r="L64" s="46"/>
      <c r="M64" s="48">
        <v>24</v>
      </c>
      <c r="N64" s="37">
        <v>1</v>
      </c>
      <c r="O64" s="47"/>
    </row>
    <row r="65" spans="2:15" x14ac:dyDescent="0.25">
      <c r="B65" s="115"/>
      <c r="C65" s="113"/>
      <c r="D65" s="113"/>
      <c r="E65" s="113"/>
      <c r="F65" s="113"/>
      <c r="G65" s="124"/>
      <c r="H65" s="124"/>
      <c r="I65" s="118"/>
      <c r="J65" s="46" t="s">
        <v>215</v>
      </c>
      <c r="K65" s="40" t="s">
        <v>169</v>
      </c>
      <c r="L65" s="46"/>
      <c r="M65" s="48">
        <v>25</v>
      </c>
      <c r="N65" s="37">
        <v>1</v>
      </c>
      <c r="O65" s="47"/>
    </row>
    <row r="66" spans="2:15" x14ac:dyDescent="0.25">
      <c r="B66" s="115"/>
      <c r="C66" s="113"/>
      <c r="D66" s="113"/>
      <c r="E66" s="113"/>
      <c r="F66" s="113"/>
      <c r="G66" s="124"/>
      <c r="H66" s="124"/>
      <c r="I66" s="118"/>
      <c r="J66" s="46" t="s">
        <v>216</v>
      </c>
      <c r="K66" s="40" t="s">
        <v>169</v>
      </c>
      <c r="L66" s="46"/>
      <c r="M66" s="48">
        <v>26</v>
      </c>
      <c r="N66" s="37">
        <v>1</v>
      </c>
      <c r="O66" s="47"/>
    </row>
    <row r="67" spans="2:15" x14ac:dyDescent="0.25">
      <c r="B67" s="116"/>
      <c r="C67" s="120"/>
      <c r="D67" s="120"/>
      <c r="E67" s="120"/>
      <c r="F67" s="120"/>
      <c r="G67" s="125"/>
      <c r="H67" s="125"/>
      <c r="I67" s="126"/>
      <c r="J67" s="49" t="s">
        <v>217</v>
      </c>
      <c r="K67" s="50" t="s">
        <v>169</v>
      </c>
      <c r="L67" s="49"/>
      <c r="M67" s="48">
        <v>27</v>
      </c>
      <c r="N67" s="50">
        <v>1</v>
      </c>
      <c r="O67" s="51"/>
    </row>
    <row r="68" spans="2:15" x14ac:dyDescent="0.25">
      <c r="B68" s="114"/>
      <c r="C68" s="119" t="s">
        <v>261</v>
      </c>
      <c r="D68" s="119" t="str">
        <f>DEC2HEX(E68)</f>
        <v>4</v>
      </c>
      <c r="E68" s="119">
        <v>4</v>
      </c>
      <c r="F68" s="119">
        <v>4</v>
      </c>
      <c r="G68" s="123" t="s">
        <v>255</v>
      </c>
      <c r="H68" s="123" t="s">
        <v>146</v>
      </c>
      <c r="I68" s="117" t="s">
        <v>353</v>
      </c>
      <c r="J68" s="43" t="s">
        <v>218</v>
      </c>
      <c r="K68" s="44" t="s">
        <v>169</v>
      </c>
      <c r="L68" s="43"/>
      <c r="M68" s="43">
        <v>0</v>
      </c>
      <c r="N68" s="44">
        <v>2</v>
      </c>
      <c r="O68" s="45"/>
    </row>
    <row r="69" spans="2:15" x14ac:dyDescent="0.25">
      <c r="B69" s="115"/>
      <c r="C69" s="113"/>
      <c r="D69" s="113"/>
      <c r="E69" s="113"/>
      <c r="F69" s="113"/>
      <c r="G69" s="124"/>
      <c r="H69" s="124"/>
      <c r="I69" s="118"/>
      <c r="J69" s="46" t="s">
        <v>219</v>
      </c>
      <c r="K69" s="40" t="s">
        <v>169</v>
      </c>
      <c r="L69" s="46"/>
      <c r="M69" s="46">
        <v>2</v>
      </c>
      <c r="N69" s="37">
        <v>1</v>
      </c>
      <c r="O69" s="47"/>
    </row>
    <row r="70" spans="2:15" x14ac:dyDescent="0.25">
      <c r="B70" s="115"/>
      <c r="C70" s="113"/>
      <c r="D70" s="113"/>
      <c r="E70" s="113"/>
      <c r="F70" s="113"/>
      <c r="G70" s="124"/>
      <c r="H70" s="124"/>
      <c r="I70" s="118"/>
      <c r="J70" s="46" t="s">
        <v>220</v>
      </c>
      <c r="K70" s="40" t="s">
        <v>169</v>
      </c>
      <c r="L70" s="46"/>
      <c r="M70" s="46">
        <v>3</v>
      </c>
      <c r="N70" s="37">
        <v>1</v>
      </c>
      <c r="O70" s="47"/>
    </row>
    <row r="71" spans="2:15" x14ac:dyDescent="0.25">
      <c r="B71" s="115"/>
      <c r="C71" s="113"/>
      <c r="D71" s="113"/>
      <c r="E71" s="113"/>
      <c r="F71" s="113"/>
      <c r="G71" s="124"/>
      <c r="H71" s="124"/>
      <c r="I71" s="118"/>
      <c r="J71" s="46" t="s">
        <v>221</v>
      </c>
      <c r="K71" s="40" t="s">
        <v>169</v>
      </c>
      <c r="L71" s="46"/>
      <c r="M71" s="48">
        <v>4</v>
      </c>
      <c r="N71" s="37">
        <v>1</v>
      </c>
      <c r="O71" s="47"/>
    </row>
    <row r="72" spans="2:15" x14ac:dyDescent="0.25">
      <c r="B72" s="115"/>
      <c r="C72" s="113"/>
      <c r="D72" s="113"/>
      <c r="E72" s="113"/>
      <c r="F72" s="113"/>
      <c r="G72" s="124"/>
      <c r="H72" s="124"/>
      <c r="I72" s="118"/>
      <c r="J72" s="46" t="s">
        <v>222</v>
      </c>
      <c r="K72" s="40" t="s">
        <v>169</v>
      </c>
      <c r="L72" s="46"/>
      <c r="M72" s="48">
        <v>5</v>
      </c>
      <c r="N72" s="37">
        <v>1</v>
      </c>
      <c r="O72" s="47"/>
    </row>
    <row r="73" spans="2:15" x14ac:dyDescent="0.25">
      <c r="B73" s="115"/>
      <c r="C73" s="113"/>
      <c r="D73" s="113"/>
      <c r="E73" s="113"/>
      <c r="F73" s="113"/>
      <c r="G73" s="124"/>
      <c r="H73" s="124"/>
      <c r="I73" s="118"/>
      <c r="J73" s="46" t="s">
        <v>223</v>
      </c>
      <c r="K73" s="40" t="s">
        <v>169</v>
      </c>
      <c r="L73" s="46"/>
      <c r="M73" s="48">
        <v>6</v>
      </c>
      <c r="N73" s="37">
        <v>1</v>
      </c>
      <c r="O73" s="47"/>
    </row>
    <row r="74" spans="2:15" x14ac:dyDescent="0.25">
      <c r="B74" s="115"/>
      <c r="C74" s="113"/>
      <c r="D74" s="113"/>
      <c r="E74" s="113"/>
      <c r="F74" s="113"/>
      <c r="G74" s="124"/>
      <c r="H74" s="124"/>
      <c r="I74" s="118"/>
      <c r="J74" s="46" t="s">
        <v>224</v>
      </c>
      <c r="K74" s="40" t="s">
        <v>169</v>
      </c>
      <c r="L74" s="46"/>
      <c r="M74" s="48">
        <v>7</v>
      </c>
      <c r="N74" s="37">
        <v>1</v>
      </c>
      <c r="O74" s="47"/>
    </row>
    <row r="75" spans="2:15" x14ac:dyDescent="0.25">
      <c r="B75" s="115"/>
      <c r="C75" s="113"/>
      <c r="D75" s="113"/>
      <c r="E75" s="113"/>
      <c r="F75" s="113"/>
      <c r="G75" s="124"/>
      <c r="H75" s="124"/>
      <c r="I75" s="118" t="s">
        <v>382</v>
      </c>
      <c r="J75" s="46" t="s">
        <v>225</v>
      </c>
      <c r="K75" s="40" t="s">
        <v>169</v>
      </c>
      <c r="L75" s="46"/>
      <c r="M75" s="48">
        <v>8</v>
      </c>
      <c r="N75" s="37">
        <v>1</v>
      </c>
      <c r="O75" s="47"/>
    </row>
    <row r="76" spans="2:15" x14ac:dyDescent="0.25">
      <c r="B76" s="115"/>
      <c r="C76" s="113"/>
      <c r="D76" s="113"/>
      <c r="E76" s="113"/>
      <c r="F76" s="113"/>
      <c r="G76" s="124"/>
      <c r="H76" s="124"/>
      <c r="I76" s="118"/>
      <c r="J76" s="46" t="s">
        <v>226</v>
      </c>
      <c r="K76" s="40" t="s">
        <v>169</v>
      </c>
      <c r="L76" s="46"/>
      <c r="M76" s="48">
        <v>9</v>
      </c>
      <c r="N76" s="37">
        <v>1</v>
      </c>
      <c r="O76" s="47"/>
    </row>
    <row r="77" spans="2:15" x14ac:dyDescent="0.25">
      <c r="B77" s="115"/>
      <c r="C77" s="113"/>
      <c r="D77" s="113"/>
      <c r="E77" s="113"/>
      <c r="F77" s="113"/>
      <c r="G77" s="124"/>
      <c r="H77" s="124"/>
      <c r="I77" s="118"/>
      <c r="J77" s="46" t="s">
        <v>227</v>
      </c>
      <c r="K77" s="40" t="s">
        <v>169</v>
      </c>
      <c r="L77" s="46"/>
      <c r="M77" s="48">
        <v>10</v>
      </c>
      <c r="N77" s="37">
        <v>1</v>
      </c>
      <c r="O77" s="47"/>
    </row>
    <row r="78" spans="2:15" x14ac:dyDescent="0.25">
      <c r="B78" s="115"/>
      <c r="C78" s="113"/>
      <c r="D78" s="113"/>
      <c r="E78" s="113"/>
      <c r="F78" s="113"/>
      <c r="G78" s="124"/>
      <c r="H78" s="124"/>
      <c r="I78" s="118"/>
      <c r="J78" s="46" t="s">
        <v>228</v>
      </c>
      <c r="K78" s="40" t="s">
        <v>169</v>
      </c>
      <c r="L78" s="46"/>
      <c r="M78" s="48">
        <v>11</v>
      </c>
      <c r="N78" s="37">
        <v>1</v>
      </c>
      <c r="O78" s="47"/>
    </row>
    <row r="79" spans="2:15" x14ac:dyDescent="0.25">
      <c r="B79" s="115"/>
      <c r="C79" s="113"/>
      <c r="D79" s="113"/>
      <c r="E79" s="113"/>
      <c r="F79" s="113"/>
      <c r="G79" s="124"/>
      <c r="H79" s="124"/>
      <c r="I79" s="118" t="s">
        <v>383</v>
      </c>
      <c r="J79" s="46" t="s">
        <v>229</v>
      </c>
      <c r="K79" s="40" t="s">
        <v>169</v>
      </c>
      <c r="L79" s="46"/>
      <c r="M79" s="46">
        <v>16</v>
      </c>
      <c r="N79" s="37">
        <v>2</v>
      </c>
      <c r="O79" s="47"/>
    </row>
    <row r="80" spans="2:15" x14ac:dyDescent="0.25">
      <c r="B80" s="115"/>
      <c r="C80" s="113"/>
      <c r="D80" s="113"/>
      <c r="E80" s="113"/>
      <c r="F80" s="113"/>
      <c r="G80" s="124"/>
      <c r="H80" s="124"/>
      <c r="I80" s="118"/>
      <c r="J80" s="46" t="s">
        <v>230</v>
      </c>
      <c r="K80" s="40" t="s">
        <v>169</v>
      </c>
      <c r="L80" s="46"/>
      <c r="M80" s="46">
        <v>18</v>
      </c>
      <c r="N80" s="37">
        <v>1</v>
      </c>
      <c r="O80" s="47"/>
    </row>
    <row r="81" spans="2:15" x14ac:dyDescent="0.25">
      <c r="B81" s="115"/>
      <c r="C81" s="113"/>
      <c r="D81" s="113"/>
      <c r="E81" s="113"/>
      <c r="F81" s="113"/>
      <c r="G81" s="124"/>
      <c r="H81" s="124"/>
      <c r="I81" s="118"/>
      <c r="J81" s="46" t="s">
        <v>231</v>
      </c>
      <c r="K81" s="40" t="s">
        <v>169</v>
      </c>
      <c r="L81" s="46"/>
      <c r="M81" s="46">
        <v>19</v>
      </c>
      <c r="N81" s="37">
        <v>1</v>
      </c>
      <c r="O81" s="47"/>
    </row>
    <row r="82" spans="2:15" x14ac:dyDescent="0.25">
      <c r="B82" s="115"/>
      <c r="C82" s="113"/>
      <c r="D82" s="113"/>
      <c r="E82" s="113"/>
      <c r="F82" s="113"/>
      <c r="G82" s="124"/>
      <c r="H82" s="124"/>
      <c r="I82" s="118"/>
      <c r="J82" s="46" t="s">
        <v>232</v>
      </c>
      <c r="K82" s="40" t="s">
        <v>169</v>
      </c>
      <c r="L82" s="46"/>
      <c r="M82" s="48">
        <v>20</v>
      </c>
      <c r="N82" s="37">
        <v>1</v>
      </c>
      <c r="O82" s="47"/>
    </row>
    <row r="83" spans="2:15" x14ac:dyDescent="0.25">
      <c r="B83" s="115"/>
      <c r="C83" s="113"/>
      <c r="D83" s="113"/>
      <c r="E83" s="113"/>
      <c r="F83" s="113"/>
      <c r="G83" s="124"/>
      <c r="H83" s="124"/>
      <c r="I83" s="118"/>
      <c r="J83" s="46" t="s">
        <v>233</v>
      </c>
      <c r="K83" s="40" t="s">
        <v>169</v>
      </c>
      <c r="L83" s="46"/>
      <c r="M83" s="48">
        <v>21</v>
      </c>
      <c r="N83" s="37">
        <v>1</v>
      </c>
      <c r="O83" s="47"/>
    </row>
    <row r="84" spans="2:15" x14ac:dyDescent="0.25">
      <c r="B84" s="115"/>
      <c r="C84" s="113"/>
      <c r="D84" s="113"/>
      <c r="E84" s="113"/>
      <c r="F84" s="113"/>
      <c r="G84" s="124"/>
      <c r="H84" s="124"/>
      <c r="I84" s="118"/>
      <c r="J84" s="46" t="s">
        <v>234</v>
      </c>
      <c r="K84" s="40" t="s">
        <v>169</v>
      </c>
      <c r="L84" s="46"/>
      <c r="M84" s="48">
        <v>22</v>
      </c>
      <c r="N84" s="37">
        <v>1</v>
      </c>
      <c r="O84" s="47"/>
    </row>
    <row r="85" spans="2:15" x14ac:dyDescent="0.25">
      <c r="B85" s="115"/>
      <c r="C85" s="113"/>
      <c r="D85" s="113"/>
      <c r="E85" s="113"/>
      <c r="F85" s="113"/>
      <c r="G85" s="124"/>
      <c r="H85" s="124"/>
      <c r="I85" s="118"/>
      <c r="J85" s="46" t="s">
        <v>235</v>
      </c>
      <c r="K85" s="40" t="s">
        <v>169</v>
      </c>
      <c r="L85" s="46"/>
      <c r="M85" s="48">
        <v>23</v>
      </c>
      <c r="N85" s="37">
        <v>1</v>
      </c>
      <c r="O85" s="47"/>
    </row>
    <row r="86" spans="2:15" x14ac:dyDescent="0.25">
      <c r="B86" s="115"/>
      <c r="C86" s="113"/>
      <c r="D86" s="113"/>
      <c r="E86" s="113"/>
      <c r="F86" s="113"/>
      <c r="G86" s="124"/>
      <c r="H86" s="124"/>
      <c r="I86" s="118" t="s">
        <v>384</v>
      </c>
      <c r="J86" s="46" t="s">
        <v>236</v>
      </c>
      <c r="K86" s="40" t="s">
        <v>169</v>
      </c>
      <c r="L86" s="46"/>
      <c r="M86" s="48">
        <v>24</v>
      </c>
      <c r="N86" s="37">
        <v>1</v>
      </c>
      <c r="O86" s="47"/>
    </row>
    <row r="87" spans="2:15" x14ac:dyDescent="0.25">
      <c r="B87" s="115"/>
      <c r="C87" s="113"/>
      <c r="D87" s="113"/>
      <c r="E87" s="113"/>
      <c r="F87" s="113"/>
      <c r="G87" s="124"/>
      <c r="H87" s="124"/>
      <c r="I87" s="118"/>
      <c r="J87" s="46" t="s">
        <v>237</v>
      </c>
      <c r="K87" s="40" t="s">
        <v>169</v>
      </c>
      <c r="L87" s="46"/>
      <c r="M87" s="48">
        <v>25</v>
      </c>
      <c r="N87" s="37">
        <v>1</v>
      </c>
      <c r="O87" s="47"/>
    </row>
    <row r="88" spans="2:15" x14ac:dyDescent="0.25">
      <c r="B88" s="115"/>
      <c r="C88" s="113"/>
      <c r="D88" s="113"/>
      <c r="E88" s="113"/>
      <c r="F88" s="113"/>
      <c r="G88" s="124"/>
      <c r="H88" s="124"/>
      <c r="I88" s="118"/>
      <c r="J88" s="46" t="s">
        <v>238</v>
      </c>
      <c r="K88" s="40" t="s">
        <v>169</v>
      </c>
      <c r="L88" s="46"/>
      <c r="M88" s="48">
        <v>26</v>
      </c>
      <c r="N88" s="37">
        <v>1</v>
      </c>
      <c r="O88" s="47"/>
    </row>
    <row r="89" spans="2:15" x14ac:dyDescent="0.25">
      <c r="B89" s="116"/>
      <c r="C89" s="120"/>
      <c r="D89" s="120"/>
      <c r="E89" s="120"/>
      <c r="F89" s="120"/>
      <c r="G89" s="125"/>
      <c r="H89" s="125"/>
      <c r="I89" s="126"/>
      <c r="J89" s="49" t="s">
        <v>239</v>
      </c>
      <c r="K89" s="50" t="s">
        <v>169</v>
      </c>
      <c r="L89" s="49"/>
      <c r="M89" s="48">
        <v>27</v>
      </c>
      <c r="N89" s="50">
        <v>1</v>
      </c>
      <c r="O89" s="51"/>
    </row>
    <row r="90" spans="2:15" ht="13.2" customHeight="1" x14ac:dyDescent="0.25">
      <c r="B90" s="114"/>
      <c r="C90" s="119" t="s">
        <v>240</v>
      </c>
      <c r="D90" s="119" t="str">
        <f>DEC2HEX(E90)</f>
        <v>5</v>
      </c>
      <c r="E90" s="119">
        <v>5</v>
      </c>
      <c r="F90" s="119">
        <v>1</v>
      </c>
      <c r="G90" s="123" t="s">
        <v>241</v>
      </c>
      <c r="H90" s="123" t="s">
        <v>242</v>
      </c>
      <c r="I90" s="117" t="s">
        <v>353</v>
      </c>
      <c r="J90" s="52" t="s">
        <v>243</v>
      </c>
      <c r="K90" s="44" t="s">
        <v>169</v>
      </c>
      <c r="L90" s="43"/>
      <c r="M90" s="43">
        <v>0</v>
      </c>
      <c r="N90" s="44">
        <v>1</v>
      </c>
      <c r="O90" s="45"/>
    </row>
    <row r="91" spans="2:15" x14ac:dyDescent="0.25">
      <c r="B91" s="115"/>
      <c r="C91" s="113"/>
      <c r="D91" s="113"/>
      <c r="E91" s="113"/>
      <c r="F91" s="113"/>
      <c r="G91" s="124"/>
      <c r="H91" s="124"/>
      <c r="I91" s="118"/>
      <c r="J91" s="48" t="s">
        <v>244</v>
      </c>
      <c r="K91" s="40" t="s">
        <v>169</v>
      </c>
      <c r="L91" s="46"/>
      <c r="M91" s="46">
        <v>1</v>
      </c>
      <c r="N91" s="62">
        <v>1</v>
      </c>
      <c r="O91" s="47"/>
    </row>
    <row r="92" spans="2:15" x14ac:dyDescent="0.25">
      <c r="B92" s="115"/>
      <c r="C92" s="113"/>
      <c r="D92" s="113"/>
      <c r="E92" s="113"/>
      <c r="F92" s="113"/>
      <c r="G92" s="124"/>
      <c r="H92" s="124"/>
      <c r="I92" s="118"/>
      <c r="J92" s="48" t="s">
        <v>245</v>
      </c>
      <c r="K92" s="40" t="s">
        <v>169</v>
      </c>
      <c r="L92" s="46"/>
      <c r="M92" s="46">
        <v>2</v>
      </c>
      <c r="N92" s="62">
        <v>1</v>
      </c>
      <c r="O92" s="47"/>
    </row>
    <row r="93" spans="2:15" x14ac:dyDescent="0.25">
      <c r="B93" s="115"/>
      <c r="C93" s="113"/>
      <c r="D93" s="113"/>
      <c r="E93" s="113"/>
      <c r="F93" s="113"/>
      <c r="G93" s="124"/>
      <c r="H93" s="124"/>
      <c r="I93" s="118"/>
      <c r="J93" s="48" t="s">
        <v>246</v>
      </c>
      <c r="K93" s="40" t="s">
        <v>169</v>
      </c>
      <c r="L93" s="46"/>
      <c r="M93" s="48">
        <v>3</v>
      </c>
      <c r="N93" s="62">
        <v>1</v>
      </c>
      <c r="O93" s="47"/>
    </row>
    <row r="94" spans="2:15" x14ac:dyDescent="0.25">
      <c r="B94" s="116"/>
      <c r="C94" s="120"/>
      <c r="D94" s="120"/>
      <c r="E94" s="120"/>
      <c r="F94" s="120"/>
      <c r="G94" s="125"/>
      <c r="H94" s="125"/>
      <c r="I94" s="126"/>
      <c r="J94" s="48" t="s">
        <v>247</v>
      </c>
      <c r="K94" s="40" t="s">
        <v>169</v>
      </c>
      <c r="L94" s="46"/>
      <c r="M94" s="46">
        <v>4</v>
      </c>
      <c r="N94" s="40">
        <v>1</v>
      </c>
      <c r="O94" s="47"/>
    </row>
    <row r="95" spans="2:15" x14ac:dyDescent="0.25">
      <c r="B95" s="114"/>
      <c r="C95" s="119" t="s">
        <v>262</v>
      </c>
      <c r="D95" s="119"/>
      <c r="E95" s="119">
        <v>11</v>
      </c>
      <c r="F95" s="119">
        <v>8</v>
      </c>
      <c r="G95" s="123" t="s">
        <v>194</v>
      </c>
      <c r="H95" s="123" t="s">
        <v>146</v>
      </c>
      <c r="I95" s="71" t="s">
        <v>14</v>
      </c>
      <c r="J95" s="52" t="s">
        <v>263</v>
      </c>
      <c r="K95" s="44" t="s">
        <v>298</v>
      </c>
      <c r="L95" s="43"/>
      <c r="M95" s="43">
        <v>0</v>
      </c>
      <c r="N95" s="44">
        <v>16</v>
      </c>
      <c r="O95" s="45"/>
    </row>
    <row r="96" spans="2:15" x14ac:dyDescent="0.25">
      <c r="B96" s="115"/>
      <c r="C96" s="113"/>
      <c r="D96" s="113"/>
      <c r="E96" s="113"/>
      <c r="F96" s="113"/>
      <c r="G96" s="124"/>
      <c r="H96" s="124"/>
      <c r="I96" s="68" t="s">
        <v>17</v>
      </c>
      <c r="J96" s="48" t="s">
        <v>264</v>
      </c>
      <c r="K96" s="40" t="s">
        <v>299</v>
      </c>
      <c r="L96" s="46"/>
      <c r="M96" s="46">
        <v>16</v>
      </c>
      <c r="N96" s="40">
        <v>16</v>
      </c>
      <c r="O96" s="47"/>
    </row>
    <row r="97" spans="1:16" x14ac:dyDescent="0.25">
      <c r="B97" s="115"/>
      <c r="C97" s="113"/>
      <c r="D97" s="113"/>
      <c r="E97" s="113"/>
      <c r="F97" s="113"/>
      <c r="G97" s="124"/>
      <c r="H97" s="124"/>
      <c r="I97" s="68" t="s">
        <v>19</v>
      </c>
      <c r="J97" s="48" t="s">
        <v>265</v>
      </c>
      <c r="K97" s="40" t="s">
        <v>300</v>
      </c>
      <c r="L97" s="46"/>
      <c r="M97" s="46">
        <v>32</v>
      </c>
      <c r="N97" s="40">
        <v>16</v>
      </c>
      <c r="O97" s="47"/>
    </row>
    <row r="98" spans="1:16" x14ac:dyDescent="0.25">
      <c r="B98" s="116"/>
      <c r="C98" s="120"/>
      <c r="D98" s="120"/>
      <c r="E98" s="120"/>
      <c r="F98" s="120"/>
      <c r="G98" s="125"/>
      <c r="H98" s="125"/>
      <c r="I98" s="69" t="s">
        <v>21</v>
      </c>
      <c r="J98" s="53" t="s">
        <v>249</v>
      </c>
      <c r="K98" s="50" t="s">
        <v>253</v>
      </c>
      <c r="L98" s="49"/>
      <c r="M98" s="49">
        <v>48</v>
      </c>
      <c r="N98" s="50">
        <v>16</v>
      </c>
      <c r="O98" s="51"/>
    </row>
    <row r="99" spans="1:16" x14ac:dyDescent="0.25">
      <c r="B99" s="114"/>
      <c r="C99" s="119" t="s">
        <v>266</v>
      </c>
      <c r="D99" s="119"/>
      <c r="E99" s="119">
        <v>12</v>
      </c>
      <c r="F99" s="119">
        <v>8</v>
      </c>
      <c r="G99" s="123" t="s">
        <v>195</v>
      </c>
      <c r="H99" s="123" t="s">
        <v>146</v>
      </c>
      <c r="I99" s="71" t="s">
        <v>14</v>
      </c>
      <c r="J99" s="52" t="s">
        <v>267</v>
      </c>
      <c r="K99" s="44" t="s">
        <v>298</v>
      </c>
      <c r="L99" s="43"/>
      <c r="M99" s="43">
        <v>0</v>
      </c>
      <c r="N99" s="44">
        <v>16</v>
      </c>
      <c r="O99" s="45"/>
    </row>
    <row r="100" spans="1:16" x14ac:dyDescent="0.25">
      <c r="B100" s="115"/>
      <c r="C100" s="113"/>
      <c r="D100" s="113"/>
      <c r="E100" s="113"/>
      <c r="F100" s="113"/>
      <c r="G100" s="124"/>
      <c r="H100" s="124"/>
      <c r="I100" s="68" t="s">
        <v>17</v>
      </c>
      <c r="J100" s="48" t="s">
        <v>268</v>
      </c>
      <c r="K100" s="40" t="s">
        <v>299</v>
      </c>
      <c r="L100" s="46"/>
      <c r="M100" s="46">
        <v>16</v>
      </c>
      <c r="N100" s="40">
        <v>16</v>
      </c>
      <c r="O100" s="47"/>
    </row>
    <row r="101" spans="1:16" x14ac:dyDescent="0.25">
      <c r="A101" s="42"/>
      <c r="B101" s="115"/>
      <c r="C101" s="113"/>
      <c r="D101" s="113"/>
      <c r="E101" s="113"/>
      <c r="F101" s="113"/>
      <c r="G101" s="124"/>
      <c r="H101" s="124"/>
      <c r="I101" s="68" t="s">
        <v>19</v>
      </c>
      <c r="J101" s="48" t="s">
        <v>269</v>
      </c>
      <c r="K101" s="40" t="s">
        <v>300</v>
      </c>
      <c r="L101" s="46"/>
      <c r="M101" s="46">
        <v>32</v>
      </c>
      <c r="N101" s="40">
        <v>16</v>
      </c>
      <c r="O101" s="47"/>
      <c r="P101" s="42"/>
    </row>
    <row r="102" spans="1:16" x14ac:dyDescent="0.25">
      <c r="A102" s="42"/>
      <c r="B102" s="116"/>
      <c r="C102" s="120"/>
      <c r="D102" s="120"/>
      <c r="E102" s="120"/>
      <c r="F102" s="120"/>
      <c r="G102" s="125"/>
      <c r="H102" s="125"/>
      <c r="I102" s="69" t="s">
        <v>21</v>
      </c>
      <c r="J102" s="53" t="s">
        <v>250</v>
      </c>
      <c r="K102" s="50" t="s">
        <v>253</v>
      </c>
      <c r="L102" s="49"/>
      <c r="M102" s="49">
        <v>48</v>
      </c>
      <c r="N102" s="50">
        <v>16</v>
      </c>
      <c r="O102" s="51"/>
      <c r="P102" s="42"/>
    </row>
    <row r="103" spans="1:16" x14ac:dyDescent="0.25">
      <c r="A103" s="42"/>
      <c r="B103" s="114"/>
      <c r="C103" s="119" t="s">
        <v>270</v>
      </c>
      <c r="D103" s="119"/>
      <c r="E103" s="119">
        <v>13</v>
      </c>
      <c r="F103" s="119">
        <v>8</v>
      </c>
      <c r="G103" s="123" t="s">
        <v>254</v>
      </c>
      <c r="H103" s="123" t="s">
        <v>146</v>
      </c>
      <c r="I103" s="71" t="s">
        <v>14</v>
      </c>
      <c r="J103" s="52" t="s">
        <v>272</v>
      </c>
      <c r="K103" s="44" t="s">
        <v>298</v>
      </c>
      <c r="L103" s="43"/>
      <c r="M103" s="43">
        <v>0</v>
      </c>
      <c r="N103" s="44">
        <v>16</v>
      </c>
      <c r="O103" s="45"/>
      <c r="P103" s="42"/>
    </row>
    <row r="104" spans="1:16" x14ac:dyDescent="0.25">
      <c r="A104" s="42"/>
      <c r="B104" s="115"/>
      <c r="C104" s="113"/>
      <c r="D104" s="113"/>
      <c r="E104" s="113"/>
      <c r="F104" s="113"/>
      <c r="G104" s="124"/>
      <c r="H104" s="124"/>
      <c r="I104" s="68" t="s">
        <v>17</v>
      </c>
      <c r="J104" s="48" t="s">
        <v>273</v>
      </c>
      <c r="K104" s="40" t="s">
        <v>299</v>
      </c>
      <c r="L104" s="46"/>
      <c r="M104" s="46">
        <v>16</v>
      </c>
      <c r="N104" s="40">
        <v>16</v>
      </c>
      <c r="O104" s="47"/>
      <c r="P104" s="42"/>
    </row>
    <row r="105" spans="1:16" x14ac:dyDescent="0.25">
      <c r="A105" s="42"/>
      <c r="B105" s="115"/>
      <c r="C105" s="113"/>
      <c r="D105" s="113"/>
      <c r="E105" s="113"/>
      <c r="F105" s="113"/>
      <c r="G105" s="124"/>
      <c r="H105" s="124"/>
      <c r="I105" s="68" t="s">
        <v>19</v>
      </c>
      <c r="J105" s="48" t="s">
        <v>274</v>
      </c>
      <c r="K105" s="40" t="s">
        <v>300</v>
      </c>
      <c r="L105" s="46"/>
      <c r="M105" s="46">
        <v>32</v>
      </c>
      <c r="N105" s="40">
        <v>16</v>
      </c>
      <c r="O105" s="47"/>
      <c r="P105" s="42"/>
    </row>
    <row r="106" spans="1:16" x14ac:dyDescent="0.25">
      <c r="A106" s="42"/>
      <c r="B106" s="116"/>
      <c r="C106" s="120"/>
      <c r="D106" s="120"/>
      <c r="E106" s="120"/>
      <c r="F106" s="120"/>
      <c r="G106" s="125"/>
      <c r="H106" s="125"/>
      <c r="I106" s="69" t="s">
        <v>21</v>
      </c>
      <c r="J106" s="53" t="s">
        <v>251</v>
      </c>
      <c r="K106" s="50" t="s">
        <v>253</v>
      </c>
      <c r="L106" s="49"/>
      <c r="M106" s="49">
        <v>48</v>
      </c>
      <c r="N106" s="50">
        <v>16</v>
      </c>
      <c r="O106" s="51"/>
      <c r="P106" s="42"/>
    </row>
    <row r="107" spans="1:16" x14ac:dyDescent="0.25">
      <c r="A107" s="42"/>
      <c r="B107" s="114"/>
      <c r="C107" s="119" t="s">
        <v>271</v>
      </c>
      <c r="D107" s="119"/>
      <c r="E107" s="119">
        <v>14</v>
      </c>
      <c r="F107" s="119">
        <v>8</v>
      </c>
      <c r="G107" s="123" t="s">
        <v>255</v>
      </c>
      <c r="H107" s="123" t="s">
        <v>146</v>
      </c>
      <c r="I107" s="71" t="s">
        <v>14</v>
      </c>
      <c r="J107" s="52" t="s">
        <v>275</v>
      </c>
      <c r="K107" s="44" t="s">
        <v>298</v>
      </c>
      <c r="L107" s="43"/>
      <c r="M107" s="43">
        <v>0</v>
      </c>
      <c r="N107" s="44">
        <v>16</v>
      </c>
      <c r="O107" s="45"/>
      <c r="P107" s="42"/>
    </row>
    <row r="108" spans="1:16" x14ac:dyDescent="0.25">
      <c r="A108" s="42"/>
      <c r="B108" s="115"/>
      <c r="C108" s="113"/>
      <c r="D108" s="113"/>
      <c r="E108" s="113"/>
      <c r="F108" s="113"/>
      <c r="G108" s="124"/>
      <c r="H108" s="124"/>
      <c r="I108" s="68" t="s">
        <v>17</v>
      </c>
      <c r="J108" s="48" t="s">
        <v>276</v>
      </c>
      <c r="K108" s="40" t="s">
        <v>299</v>
      </c>
      <c r="L108" s="46"/>
      <c r="M108" s="46">
        <v>16</v>
      </c>
      <c r="N108" s="40">
        <v>16</v>
      </c>
      <c r="O108" s="47"/>
      <c r="P108" s="42"/>
    </row>
    <row r="109" spans="1:16" x14ac:dyDescent="0.25">
      <c r="A109" s="42"/>
      <c r="B109" s="115"/>
      <c r="C109" s="113"/>
      <c r="D109" s="113"/>
      <c r="E109" s="113"/>
      <c r="F109" s="113"/>
      <c r="G109" s="124"/>
      <c r="H109" s="124"/>
      <c r="I109" s="68" t="s">
        <v>19</v>
      </c>
      <c r="J109" s="48" t="s">
        <v>277</v>
      </c>
      <c r="K109" s="40" t="s">
        <v>300</v>
      </c>
      <c r="L109" s="46"/>
      <c r="M109" s="46">
        <v>32</v>
      </c>
      <c r="N109" s="40">
        <v>16</v>
      </c>
      <c r="O109" s="47"/>
      <c r="P109" s="42"/>
    </row>
    <row r="110" spans="1:16" x14ac:dyDescent="0.25">
      <c r="A110" s="42"/>
      <c r="B110" s="116"/>
      <c r="C110" s="120"/>
      <c r="D110" s="120"/>
      <c r="E110" s="120"/>
      <c r="F110" s="120"/>
      <c r="G110" s="125"/>
      <c r="H110" s="125"/>
      <c r="I110" s="69" t="s">
        <v>21</v>
      </c>
      <c r="J110" s="53" t="s">
        <v>252</v>
      </c>
      <c r="K110" s="50" t="s">
        <v>253</v>
      </c>
      <c r="L110" s="49"/>
      <c r="M110" s="49">
        <v>48</v>
      </c>
      <c r="N110" s="50">
        <v>16</v>
      </c>
      <c r="O110" s="51"/>
      <c r="P110" s="42"/>
    </row>
    <row r="111" spans="1:16" x14ac:dyDescent="0.25">
      <c r="A111" s="42"/>
      <c r="B111" s="114"/>
      <c r="C111" s="119" t="s">
        <v>278</v>
      </c>
      <c r="D111" s="119"/>
      <c r="E111" s="119">
        <v>15</v>
      </c>
      <c r="F111" s="119">
        <v>8</v>
      </c>
      <c r="G111" s="123" t="s">
        <v>294</v>
      </c>
      <c r="H111" s="123" t="s">
        <v>146</v>
      </c>
      <c r="I111" s="71" t="s">
        <v>14</v>
      </c>
      <c r="J111" s="52" t="s">
        <v>282</v>
      </c>
      <c r="K111" s="44" t="s">
        <v>298</v>
      </c>
      <c r="L111" s="43"/>
      <c r="M111" s="43">
        <v>0</v>
      </c>
      <c r="N111" s="44">
        <v>16</v>
      </c>
      <c r="O111" s="45"/>
      <c r="P111" s="42"/>
    </row>
    <row r="112" spans="1:16" x14ac:dyDescent="0.25">
      <c r="A112" s="42"/>
      <c r="B112" s="115"/>
      <c r="C112" s="113"/>
      <c r="D112" s="113"/>
      <c r="E112" s="113"/>
      <c r="F112" s="113"/>
      <c r="G112" s="124"/>
      <c r="H112" s="124"/>
      <c r="I112" s="68" t="s">
        <v>17</v>
      </c>
      <c r="J112" s="48" t="s">
        <v>283</v>
      </c>
      <c r="K112" s="40" t="s">
        <v>299</v>
      </c>
      <c r="L112" s="46"/>
      <c r="M112" s="46">
        <v>16</v>
      </c>
      <c r="N112" s="40">
        <v>16</v>
      </c>
      <c r="O112" s="47"/>
      <c r="P112" s="42"/>
    </row>
    <row r="113" spans="2:15" x14ac:dyDescent="0.25">
      <c r="B113" s="115"/>
      <c r="C113" s="113"/>
      <c r="D113" s="113"/>
      <c r="E113" s="113"/>
      <c r="F113" s="113"/>
      <c r="G113" s="124"/>
      <c r="H113" s="124"/>
      <c r="I113" s="68" t="s">
        <v>19</v>
      </c>
      <c r="J113" s="48" t="s">
        <v>284</v>
      </c>
      <c r="K113" s="40" t="s">
        <v>300</v>
      </c>
      <c r="L113" s="46"/>
      <c r="M113" s="46">
        <v>32</v>
      </c>
      <c r="N113" s="40">
        <v>16</v>
      </c>
      <c r="O113" s="47"/>
    </row>
    <row r="114" spans="2:15" x14ac:dyDescent="0.25">
      <c r="B114" s="116"/>
      <c r="C114" s="120"/>
      <c r="D114" s="120"/>
      <c r="E114" s="120"/>
      <c r="F114" s="120"/>
      <c r="G114" s="125"/>
      <c r="H114" s="125"/>
      <c r="I114" s="69" t="s">
        <v>21</v>
      </c>
      <c r="J114" s="53" t="s">
        <v>256</v>
      </c>
      <c r="K114" s="50" t="s">
        <v>253</v>
      </c>
      <c r="L114" s="49"/>
      <c r="M114" s="49">
        <v>48</v>
      </c>
      <c r="N114" s="50">
        <v>16</v>
      </c>
      <c r="O114" s="51"/>
    </row>
    <row r="115" spans="2:15" x14ac:dyDescent="0.25">
      <c r="B115" s="114"/>
      <c r="C115" s="119" t="s">
        <v>279</v>
      </c>
      <c r="D115" s="119"/>
      <c r="E115" s="119">
        <v>16</v>
      </c>
      <c r="F115" s="119">
        <v>8</v>
      </c>
      <c r="G115" s="123" t="s">
        <v>295</v>
      </c>
      <c r="H115" s="123" t="s">
        <v>146</v>
      </c>
      <c r="I115" s="71" t="s">
        <v>14</v>
      </c>
      <c r="J115" s="52" t="s">
        <v>285</v>
      </c>
      <c r="K115" s="44" t="s">
        <v>298</v>
      </c>
      <c r="L115" s="43"/>
      <c r="M115" s="43">
        <v>0</v>
      </c>
      <c r="N115" s="44">
        <v>16</v>
      </c>
      <c r="O115" s="45"/>
    </row>
    <row r="116" spans="2:15" x14ac:dyDescent="0.25">
      <c r="B116" s="115"/>
      <c r="C116" s="113"/>
      <c r="D116" s="113"/>
      <c r="E116" s="113"/>
      <c r="F116" s="113"/>
      <c r="G116" s="124"/>
      <c r="H116" s="124"/>
      <c r="I116" s="68" t="s">
        <v>17</v>
      </c>
      <c r="J116" s="48" t="s">
        <v>286</v>
      </c>
      <c r="K116" s="40" t="s">
        <v>299</v>
      </c>
      <c r="L116" s="46"/>
      <c r="M116" s="46">
        <v>16</v>
      </c>
      <c r="N116" s="40">
        <v>16</v>
      </c>
      <c r="O116" s="47"/>
    </row>
    <row r="117" spans="2:15" x14ac:dyDescent="0.25">
      <c r="B117" s="115"/>
      <c r="C117" s="113"/>
      <c r="D117" s="113"/>
      <c r="E117" s="113"/>
      <c r="F117" s="113"/>
      <c r="G117" s="124"/>
      <c r="H117" s="124"/>
      <c r="I117" s="68" t="s">
        <v>19</v>
      </c>
      <c r="J117" s="48" t="s">
        <v>287</v>
      </c>
      <c r="K117" s="40" t="s">
        <v>300</v>
      </c>
      <c r="L117" s="46"/>
      <c r="M117" s="46">
        <v>32</v>
      </c>
      <c r="N117" s="40">
        <v>16</v>
      </c>
      <c r="O117" s="47"/>
    </row>
    <row r="118" spans="2:15" x14ac:dyDescent="0.25">
      <c r="B118" s="116"/>
      <c r="C118" s="120"/>
      <c r="D118" s="120"/>
      <c r="E118" s="120"/>
      <c r="F118" s="120"/>
      <c r="G118" s="125"/>
      <c r="H118" s="125"/>
      <c r="I118" s="69" t="s">
        <v>21</v>
      </c>
      <c r="J118" s="53" t="s">
        <v>257</v>
      </c>
      <c r="K118" s="50" t="s">
        <v>253</v>
      </c>
      <c r="L118" s="49"/>
      <c r="M118" s="49">
        <v>48</v>
      </c>
      <c r="N118" s="50">
        <v>16</v>
      </c>
      <c r="O118" s="51"/>
    </row>
    <row r="119" spans="2:15" x14ac:dyDescent="0.25">
      <c r="B119" s="114"/>
      <c r="C119" s="119" t="s">
        <v>280</v>
      </c>
      <c r="D119" s="119"/>
      <c r="E119" s="119">
        <v>17</v>
      </c>
      <c r="F119" s="119">
        <v>8</v>
      </c>
      <c r="G119" s="123" t="s">
        <v>296</v>
      </c>
      <c r="H119" s="123" t="s">
        <v>146</v>
      </c>
      <c r="I119" s="71" t="s">
        <v>14</v>
      </c>
      <c r="J119" s="52" t="s">
        <v>288</v>
      </c>
      <c r="K119" s="44" t="s">
        <v>298</v>
      </c>
      <c r="L119" s="43"/>
      <c r="M119" s="43">
        <v>0</v>
      </c>
      <c r="N119" s="44">
        <v>16</v>
      </c>
      <c r="O119" s="45"/>
    </row>
    <row r="120" spans="2:15" x14ac:dyDescent="0.25">
      <c r="B120" s="115"/>
      <c r="C120" s="113"/>
      <c r="D120" s="113"/>
      <c r="E120" s="113"/>
      <c r="F120" s="113"/>
      <c r="G120" s="124"/>
      <c r="H120" s="124"/>
      <c r="I120" s="68" t="s">
        <v>17</v>
      </c>
      <c r="J120" s="48" t="s">
        <v>289</v>
      </c>
      <c r="K120" s="40" t="s">
        <v>299</v>
      </c>
      <c r="L120" s="46"/>
      <c r="M120" s="46">
        <v>16</v>
      </c>
      <c r="N120" s="40">
        <v>16</v>
      </c>
      <c r="O120" s="47"/>
    </row>
    <row r="121" spans="2:15" x14ac:dyDescent="0.25">
      <c r="B121" s="115"/>
      <c r="C121" s="113"/>
      <c r="D121" s="113"/>
      <c r="E121" s="113"/>
      <c r="F121" s="113"/>
      <c r="G121" s="124"/>
      <c r="H121" s="124"/>
      <c r="I121" s="68" t="s">
        <v>19</v>
      </c>
      <c r="J121" s="48" t="s">
        <v>290</v>
      </c>
      <c r="K121" s="40" t="s">
        <v>300</v>
      </c>
      <c r="L121" s="46"/>
      <c r="M121" s="46">
        <v>32</v>
      </c>
      <c r="N121" s="40">
        <v>16</v>
      </c>
      <c r="O121" s="47"/>
    </row>
    <row r="122" spans="2:15" x14ac:dyDescent="0.25">
      <c r="B122" s="116"/>
      <c r="C122" s="120"/>
      <c r="D122" s="120"/>
      <c r="E122" s="120"/>
      <c r="F122" s="120"/>
      <c r="G122" s="125"/>
      <c r="H122" s="125"/>
      <c r="I122" s="69" t="s">
        <v>21</v>
      </c>
      <c r="J122" s="53" t="s">
        <v>258</v>
      </c>
      <c r="K122" s="50" t="s">
        <v>253</v>
      </c>
      <c r="L122" s="49"/>
      <c r="M122" s="49">
        <v>48</v>
      </c>
      <c r="N122" s="50">
        <v>16</v>
      </c>
      <c r="O122" s="51"/>
    </row>
    <row r="123" spans="2:15" x14ac:dyDescent="0.25">
      <c r="B123" s="114"/>
      <c r="C123" s="119" t="s">
        <v>281</v>
      </c>
      <c r="D123" s="119"/>
      <c r="E123" s="119">
        <v>18</v>
      </c>
      <c r="F123" s="119">
        <v>8</v>
      </c>
      <c r="G123" s="123" t="s">
        <v>297</v>
      </c>
      <c r="H123" s="123" t="s">
        <v>146</v>
      </c>
      <c r="I123" s="71" t="s">
        <v>14</v>
      </c>
      <c r="J123" s="52" t="s">
        <v>291</v>
      </c>
      <c r="K123" s="44" t="s">
        <v>298</v>
      </c>
      <c r="L123" s="43"/>
      <c r="M123" s="43">
        <v>0</v>
      </c>
      <c r="N123" s="44">
        <v>16</v>
      </c>
      <c r="O123" s="45"/>
    </row>
    <row r="124" spans="2:15" x14ac:dyDescent="0.25">
      <c r="B124" s="115"/>
      <c r="C124" s="113"/>
      <c r="D124" s="113"/>
      <c r="E124" s="113"/>
      <c r="F124" s="113"/>
      <c r="G124" s="124"/>
      <c r="H124" s="124"/>
      <c r="I124" s="68" t="s">
        <v>17</v>
      </c>
      <c r="J124" s="48" t="s">
        <v>292</v>
      </c>
      <c r="K124" s="40" t="s">
        <v>299</v>
      </c>
      <c r="L124" s="46"/>
      <c r="M124" s="46">
        <v>16</v>
      </c>
      <c r="N124" s="40">
        <v>16</v>
      </c>
      <c r="O124" s="47"/>
    </row>
    <row r="125" spans="2:15" x14ac:dyDescent="0.25">
      <c r="B125" s="115"/>
      <c r="C125" s="113"/>
      <c r="D125" s="113"/>
      <c r="E125" s="113"/>
      <c r="F125" s="113"/>
      <c r="G125" s="124"/>
      <c r="H125" s="124"/>
      <c r="I125" s="68" t="s">
        <v>19</v>
      </c>
      <c r="J125" s="48" t="s">
        <v>293</v>
      </c>
      <c r="K125" s="40" t="s">
        <v>300</v>
      </c>
      <c r="L125" s="46"/>
      <c r="M125" s="46">
        <v>32</v>
      </c>
      <c r="N125" s="40">
        <v>16</v>
      </c>
      <c r="O125" s="47"/>
    </row>
    <row r="126" spans="2:15" x14ac:dyDescent="0.25">
      <c r="B126" s="116"/>
      <c r="C126" s="120"/>
      <c r="D126" s="120"/>
      <c r="E126" s="120"/>
      <c r="F126" s="120"/>
      <c r="G126" s="125"/>
      <c r="H126" s="125"/>
      <c r="I126" s="69" t="s">
        <v>21</v>
      </c>
      <c r="J126" s="53" t="s">
        <v>259</v>
      </c>
      <c r="K126" s="50" t="s">
        <v>253</v>
      </c>
      <c r="L126" s="49"/>
      <c r="M126" s="49">
        <v>48</v>
      </c>
      <c r="N126" s="50">
        <v>16</v>
      </c>
      <c r="O126" s="51"/>
    </row>
    <row r="127" spans="2:15" x14ac:dyDescent="0.25">
      <c r="B127" s="55"/>
      <c r="C127" s="40" t="s">
        <v>376</v>
      </c>
      <c r="D127" s="40"/>
      <c r="E127" s="40">
        <v>20</v>
      </c>
      <c r="F127" s="40">
        <v>1</v>
      </c>
      <c r="G127" s="66" t="s">
        <v>241</v>
      </c>
      <c r="H127" s="63" t="s">
        <v>354</v>
      </c>
      <c r="I127" s="68" t="s">
        <v>353</v>
      </c>
      <c r="J127" s="48" t="s">
        <v>377</v>
      </c>
      <c r="K127" s="40" t="s">
        <v>303</v>
      </c>
      <c r="L127" s="46"/>
      <c r="M127" s="46">
        <v>0</v>
      </c>
      <c r="N127" s="40">
        <v>8</v>
      </c>
      <c r="O127" s="47"/>
    </row>
    <row r="128" spans="2:15" x14ac:dyDescent="0.25">
      <c r="B128" s="133"/>
      <c r="C128" s="119" t="s">
        <v>301</v>
      </c>
      <c r="D128" s="119"/>
      <c r="E128" s="119">
        <v>21</v>
      </c>
      <c r="F128" s="119">
        <v>2</v>
      </c>
      <c r="G128" s="127" t="s">
        <v>194</v>
      </c>
      <c r="H128" s="119" t="s">
        <v>146</v>
      </c>
      <c r="I128" s="71" t="s">
        <v>353</v>
      </c>
      <c r="J128" s="43" t="s">
        <v>248</v>
      </c>
      <c r="K128" s="44" t="s">
        <v>303</v>
      </c>
      <c r="L128" s="43"/>
      <c r="M128" s="43">
        <v>0</v>
      </c>
      <c r="N128" s="44">
        <v>8</v>
      </c>
      <c r="O128" s="45"/>
    </row>
    <row r="129" spans="2:15" x14ac:dyDescent="0.25">
      <c r="B129" s="134"/>
      <c r="C129" s="113"/>
      <c r="D129" s="113"/>
      <c r="E129" s="113"/>
      <c r="F129" s="113"/>
      <c r="G129" s="128"/>
      <c r="H129" s="113"/>
      <c r="I129" s="118" t="s">
        <v>382</v>
      </c>
      <c r="J129" s="46" t="s">
        <v>302</v>
      </c>
      <c r="K129" s="40" t="s">
        <v>169</v>
      </c>
      <c r="L129" s="46"/>
      <c r="M129" s="46">
        <v>8</v>
      </c>
      <c r="N129" s="40">
        <v>2</v>
      </c>
      <c r="O129" s="47"/>
    </row>
    <row r="130" spans="2:15" x14ac:dyDescent="0.25">
      <c r="B130" s="135"/>
      <c r="C130" s="120"/>
      <c r="D130" s="120"/>
      <c r="E130" s="120"/>
      <c r="F130" s="120"/>
      <c r="G130" s="129"/>
      <c r="H130" s="120"/>
      <c r="I130" s="126"/>
      <c r="J130" s="49" t="s">
        <v>372</v>
      </c>
      <c r="K130" s="50" t="s">
        <v>169</v>
      </c>
      <c r="L130" s="49"/>
      <c r="M130" s="49">
        <v>10</v>
      </c>
      <c r="N130" s="50">
        <v>2</v>
      </c>
      <c r="O130" s="51"/>
    </row>
    <row r="131" spans="2:15" x14ac:dyDescent="0.25">
      <c r="B131" s="133"/>
      <c r="C131" s="119" t="s">
        <v>304</v>
      </c>
      <c r="D131" s="119"/>
      <c r="E131" s="119">
        <v>22</v>
      </c>
      <c r="F131" s="119">
        <v>2</v>
      </c>
      <c r="G131" s="127" t="s">
        <v>195</v>
      </c>
      <c r="H131" s="119" t="s">
        <v>146</v>
      </c>
      <c r="I131" s="71" t="s">
        <v>353</v>
      </c>
      <c r="J131" s="43" t="s">
        <v>305</v>
      </c>
      <c r="K131" s="44" t="s">
        <v>303</v>
      </c>
      <c r="L131" s="43"/>
      <c r="M131" s="43">
        <v>0</v>
      </c>
      <c r="N131" s="44">
        <v>8</v>
      </c>
      <c r="O131" s="45"/>
    </row>
    <row r="132" spans="2:15" x14ac:dyDescent="0.25">
      <c r="B132" s="134"/>
      <c r="C132" s="113"/>
      <c r="D132" s="113"/>
      <c r="E132" s="113"/>
      <c r="F132" s="113"/>
      <c r="G132" s="128"/>
      <c r="H132" s="113"/>
      <c r="I132" s="118" t="s">
        <v>382</v>
      </c>
      <c r="J132" s="46" t="s">
        <v>306</v>
      </c>
      <c r="K132" s="40" t="s">
        <v>169</v>
      </c>
      <c r="L132" s="46"/>
      <c r="M132" s="46">
        <v>8</v>
      </c>
      <c r="N132" s="40">
        <v>2</v>
      </c>
      <c r="O132" s="47"/>
    </row>
    <row r="133" spans="2:15" x14ac:dyDescent="0.25">
      <c r="B133" s="135"/>
      <c r="C133" s="120"/>
      <c r="D133" s="120"/>
      <c r="E133" s="120"/>
      <c r="F133" s="120"/>
      <c r="G133" s="129"/>
      <c r="H133" s="120"/>
      <c r="I133" s="126"/>
      <c r="J133" s="49" t="s">
        <v>373</v>
      </c>
      <c r="K133" s="50" t="s">
        <v>169</v>
      </c>
      <c r="L133" s="49"/>
      <c r="M133" s="49">
        <v>10</v>
      </c>
      <c r="N133" s="50">
        <v>2</v>
      </c>
      <c r="O133" s="51"/>
    </row>
    <row r="134" spans="2:15" x14ac:dyDescent="0.25">
      <c r="B134" s="133"/>
      <c r="C134" s="119" t="s">
        <v>307</v>
      </c>
      <c r="D134" s="119"/>
      <c r="E134" s="119">
        <v>23</v>
      </c>
      <c r="F134" s="119">
        <v>2</v>
      </c>
      <c r="G134" s="127" t="s">
        <v>254</v>
      </c>
      <c r="H134" s="119" t="s">
        <v>146</v>
      </c>
      <c r="I134" s="71" t="s">
        <v>353</v>
      </c>
      <c r="J134" s="43" t="s">
        <v>308</v>
      </c>
      <c r="K134" s="44" t="s">
        <v>303</v>
      </c>
      <c r="L134" s="43"/>
      <c r="M134" s="43">
        <v>0</v>
      </c>
      <c r="N134" s="44">
        <v>8</v>
      </c>
      <c r="O134" s="45"/>
    </row>
    <row r="135" spans="2:15" x14ac:dyDescent="0.25">
      <c r="B135" s="134"/>
      <c r="C135" s="113"/>
      <c r="D135" s="113"/>
      <c r="E135" s="113"/>
      <c r="F135" s="113"/>
      <c r="G135" s="128"/>
      <c r="H135" s="113"/>
      <c r="I135" s="118" t="s">
        <v>382</v>
      </c>
      <c r="J135" s="46" t="s">
        <v>309</v>
      </c>
      <c r="K135" s="40" t="s">
        <v>169</v>
      </c>
      <c r="L135" s="46"/>
      <c r="M135" s="46">
        <v>8</v>
      </c>
      <c r="N135" s="40">
        <v>2</v>
      </c>
      <c r="O135" s="47"/>
    </row>
    <row r="136" spans="2:15" x14ac:dyDescent="0.25">
      <c r="B136" s="135"/>
      <c r="C136" s="120"/>
      <c r="D136" s="120"/>
      <c r="E136" s="120"/>
      <c r="F136" s="120"/>
      <c r="G136" s="129"/>
      <c r="H136" s="120"/>
      <c r="I136" s="126"/>
      <c r="J136" s="49" t="s">
        <v>374</v>
      </c>
      <c r="K136" s="50" t="s">
        <v>169</v>
      </c>
      <c r="L136" s="49"/>
      <c r="M136" s="49">
        <v>10</v>
      </c>
      <c r="N136" s="50">
        <v>2</v>
      </c>
      <c r="O136" s="51"/>
    </row>
    <row r="137" spans="2:15" x14ac:dyDescent="0.25">
      <c r="B137" s="133"/>
      <c r="C137" s="119" t="s">
        <v>310</v>
      </c>
      <c r="D137" s="119"/>
      <c r="E137" s="119">
        <v>24</v>
      </c>
      <c r="F137" s="119">
        <v>2</v>
      </c>
      <c r="G137" s="127" t="s">
        <v>255</v>
      </c>
      <c r="H137" s="119" t="s">
        <v>146</v>
      </c>
      <c r="I137" s="71" t="s">
        <v>353</v>
      </c>
      <c r="J137" s="43" t="s">
        <v>311</v>
      </c>
      <c r="K137" s="44" t="s">
        <v>303</v>
      </c>
      <c r="L137" s="43"/>
      <c r="M137" s="43">
        <v>0</v>
      </c>
      <c r="N137" s="44">
        <v>8</v>
      </c>
      <c r="O137" s="45"/>
    </row>
    <row r="138" spans="2:15" x14ac:dyDescent="0.25">
      <c r="B138" s="134"/>
      <c r="C138" s="113"/>
      <c r="D138" s="113"/>
      <c r="E138" s="113"/>
      <c r="F138" s="113"/>
      <c r="G138" s="128"/>
      <c r="H138" s="113"/>
      <c r="I138" s="118" t="s">
        <v>382</v>
      </c>
      <c r="J138" s="46" t="s">
        <v>312</v>
      </c>
      <c r="K138" s="40" t="s">
        <v>169</v>
      </c>
      <c r="L138" s="46"/>
      <c r="M138" s="46">
        <v>8</v>
      </c>
      <c r="N138" s="40">
        <v>2</v>
      </c>
      <c r="O138" s="47"/>
    </row>
    <row r="139" spans="2:15" x14ac:dyDescent="0.25">
      <c r="B139" s="134"/>
      <c r="C139" s="113"/>
      <c r="D139" s="113"/>
      <c r="E139" s="113"/>
      <c r="F139" s="113"/>
      <c r="G139" s="128"/>
      <c r="H139" s="113"/>
      <c r="I139" s="126"/>
      <c r="J139" s="46" t="s">
        <v>375</v>
      </c>
      <c r="K139" s="40" t="s">
        <v>169</v>
      </c>
      <c r="L139" s="46"/>
      <c r="M139" s="46">
        <v>10</v>
      </c>
      <c r="N139" s="40">
        <v>2</v>
      </c>
      <c r="O139" s="47"/>
    </row>
    <row r="140" spans="2:15" x14ac:dyDescent="0.25">
      <c r="B140" s="114"/>
      <c r="C140" s="136" t="s">
        <v>355</v>
      </c>
      <c r="D140" s="119"/>
      <c r="E140" s="119">
        <v>31</v>
      </c>
      <c r="F140" s="119">
        <v>6</v>
      </c>
      <c r="G140" s="127" t="s">
        <v>242</v>
      </c>
      <c r="H140" s="119" t="s">
        <v>194</v>
      </c>
      <c r="I140" s="71">
        <v>0</v>
      </c>
      <c r="J140" s="43" t="s">
        <v>313</v>
      </c>
      <c r="K140" s="44" t="s">
        <v>299</v>
      </c>
      <c r="L140" s="43"/>
      <c r="M140" s="43">
        <v>0</v>
      </c>
      <c r="N140" s="44">
        <v>8</v>
      </c>
      <c r="O140" s="45"/>
    </row>
    <row r="141" spans="2:15" x14ac:dyDescent="0.25">
      <c r="B141" s="115"/>
      <c r="C141" s="137"/>
      <c r="D141" s="113"/>
      <c r="E141" s="113"/>
      <c r="F141" s="113"/>
      <c r="G141" s="128"/>
      <c r="H141" s="113"/>
      <c r="I141" s="68">
        <v>1</v>
      </c>
      <c r="J141" s="46" t="s">
        <v>321</v>
      </c>
      <c r="K141" s="54" t="s">
        <v>371</v>
      </c>
      <c r="L141" s="46"/>
      <c r="M141" s="46">
        <v>8</v>
      </c>
      <c r="N141" s="40">
        <v>8</v>
      </c>
      <c r="O141" s="47"/>
    </row>
    <row r="142" spans="2:15" x14ac:dyDescent="0.25">
      <c r="B142" s="115"/>
      <c r="C142" s="137"/>
      <c r="D142" s="113"/>
      <c r="E142" s="113"/>
      <c r="F142" s="113"/>
      <c r="G142" s="128"/>
      <c r="H142" s="113"/>
      <c r="I142" s="68">
        <v>2</v>
      </c>
      <c r="J142" s="46" t="s">
        <v>329</v>
      </c>
      <c r="K142" s="54" t="s">
        <v>371</v>
      </c>
      <c r="L142" s="46"/>
      <c r="M142" s="46">
        <v>16</v>
      </c>
      <c r="N142" s="40">
        <v>8</v>
      </c>
      <c r="O142" s="47"/>
    </row>
    <row r="143" spans="2:15" x14ac:dyDescent="0.25">
      <c r="B143" s="115"/>
      <c r="C143" s="137"/>
      <c r="D143" s="113"/>
      <c r="E143" s="113"/>
      <c r="F143" s="113"/>
      <c r="G143" s="128"/>
      <c r="H143" s="113"/>
      <c r="I143" s="68">
        <v>3</v>
      </c>
      <c r="J143" s="46" t="s">
        <v>337</v>
      </c>
      <c r="K143" s="40" t="s">
        <v>298</v>
      </c>
      <c r="L143" s="46"/>
      <c r="M143" s="46">
        <v>24</v>
      </c>
      <c r="N143" s="40">
        <v>8</v>
      </c>
      <c r="O143" s="47"/>
    </row>
    <row r="144" spans="2:15" x14ac:dyDescent="0.25">
      <c r="B144" s="115"/>
      <c r="C144" s="137"/>
      <c r="D144" s="113"/>
      <c r="E144" s="113"/>
      <c r="F144" s="113"/>
      <c r="G144" s="128"/>
      <c r="H144" s="113"/>
      <c r="I144" s="68">
        <v>4</v>
      </c>
      <c r="J144" s="46" t="s">
        <v>345</v>
      </c>
      <c r="K144" s="40" t="s">
        <v>298</v>
      </c>
      <c r="L144" s="46"/>
      <c r="M144" s="46">
        <v>32</v>
      </c>
      <c r="N144" s="40">
        <v>8</v>
      </c>
      <c r="O144" s="47"/>
    </row>
    <row r="145" spans="2:15" x14ac:dyDescent="0.25">
      <c r="B145" s="116"/>
      <c r="C145" s="138"/>
      <c r="D145" s="120"/>
      <c r="E145" s="120"/>
      <c r="F145" s="120"/>
      <c r="G145" s="129"/>
      <c r="H145" s="120"/>
      <c r="I145" s="69">
        <v>5</v>
      </c>
      <c r="J145" s="46" t="s">
        <v>363</v>
      </c>
      <c r="K145" s="50" t="s">
        <v>169</v>
      </c>
      <c r="L145" s="49"/>
      <c r="M145" s="49">
        <v>40</v>
      </c>
      <c r="N145" s="50">
        <v>2</v>
      </c>
      <c r="O145" s="51"/>
    </row>
    <row r="146" spans="2:15" ht="13.2" customHeight="1" x14ac:dyDescent="0.25">
      <c r="B146" s="114"/>
      <c r="C146" s="136" t="s">
        <v>356</v>
      </c>
      <c r="D146" s="119"/>
      <c r="E146" s="119">
        <v>32</v>
      </c>
      <c r="F146" s="119">
        <v>6</v>
      </c>
      <c r="G146" s="127" t="s">
        <v>242</v>
      </c>
      <c r="H146" s="119" t="s">
        <v>194</v>
      </c>
      <c r="I146" s="71">
        <v>0</v>
      </c>
      <c r="J146" s="67" t="s">
        <v>314</v>
      </c>
      <c r="K146" s="44" t="s">
        <v>299</v>
      </c>
      <c r="L146" s="43"/>
      <c r="M146" s="43">
        <v>0</v>
      </c>
      <c r="N146" s="44">
        <v>8</v>
      </c>
      <c r="O146" s="45"/>
    </row>
    <row r="147" spans="2:15" x14ac:dyDescent="0.25">
      <c r="B147" s="115"/>
      <c r="C147" s="137"/>
      <c r="D147" s="113"/>
      <c r="E147" s="113"/>
      <c r="F147" s="113"/>
      <c r="G147" s="128"/>
      <c r="H147" s="113"/>
      <c r="I147" s="68">
        <v>1</v>
      </c>
      <c r="J147" s="46" t="s">
        <v>322</v>
      </c>
      <c r="K147" s="54" t="s">
        <v>371</v>
      </c>
      <c r="L147" s="46"/>
      <c r="M147" s="46">
        <v>8</v>
      </c>
      <c r="N147" s="40">
        <v>8</v>
      </c>
      <c r="O147" s="47"/>
    </row>
    <row r="148" spans="2:15" x14ac:dyDescent="0.25">
      <c r="B148" s="115"/>
      <c r="C148" s="137"/>
      <c r="D148" s="113"/>
      <c r="E148" s="113"/>
      <c r="F148" s="113"/>
      <c r="G148" s="128"/>
      <c r="H148" s="113"/>
      <c r="I148" s="68">
        <v>2</v>
      </c>
      <c r="J148" s="46" t="s">
        <v>330</v>
      </c>
      <c r="K148" s="54" t="s">
        <v>371</v>
      </c>
      <c r="L148" s="46"/>
      <c r="M148" s="46">
        <v>16</v>
      </c>
      <c r="N148" s="40">
        <v>8</v>
      </c>
      <c r="O148" s="47"/>
    </row>
    <row r="149" spans="2:15" x14ac:dyDescent="0.25">
      <c r="B149" s="115"/>
      <c r="C149" s="137"/>
      <c r="D149" s="113"/>
      <c r="E149" s="113"/>
      <c r="F149" s="113"/>
      <c r="G149" s="128"/>
      <c r="H149" s="113"/>
      <c r="I149" s="68">
        <v>3</v>
      </c>
      <c r="J149" s="46" t="s">
        <v>338</v>
      </c>
      <c r="K149" s="40" t="s">
        <v>298</v>
      </c>
      <c r="L149" s="46"/>
      <c r="M149" s="46">
        <v>24</v>
      </c>
      <c r="N149" s="40">
        <v>8</v>
      </c>
      <c r="O149" s="47"/>
    </row>
    <row r="150" spans="2:15" x14ac:dyDescent="0.25">
      <c r="B150" s="115"/>
      <c r="C150" s="137"/>
      <c r="D150" s="113"/>
      <c r="E150" s="113"/>
      <c r="F150" s="113"/>
      <c r="G150" s="128"/>
      <c r="H150" s="113"/>
      <c r="I150" s="68">
        <v>4</v>
      </c>
      <c r="J150" s="46" t="s">
        <v>346</v>
      </c>
      <c r="K150" s="40" t="s">
        <v>298</v>
      </c>
      <c r="L150" s="46"/>
      <c r="M150" s="46">
        <v>32</v>
      </c>
      <c r="N150" s="40">
        <v>8</v>
      </c>
      <c r="O150" s="47"/>
    </row>
    <row r="151" spans="2:15" x14ac:dyDescent="0.25">
      <c r="B151" s="116"/>
      <c r="C151" s="138"/>
      <c r="D151" s="120"/>
      <c r="E151" s="120"/>
      <c r="F151" s="120"/>
      <c r="G151" s="129"/>
      <c r="H151" s="120"/>
      <c r="I151" s="69">
        <v>5</v>
      </c>
      <c r="J151" s="46" t="s">
        <v>364</v>
      </c>
      <c r="K151" s="50" t="s">
        <v>169</v>
      </c>
      <c r="L151" s="49"/>
      <c r="M151" s="49">
        <v>40</v>
      </c>
      <c r="N151" s="50">
        <v>2</v>
      </c>
      <c r="O151" s="51"/>
    </row>
    <row r="152" spans="2:15" x14ac:dyDescent="0.25">
      <c r="B152" s="114"/>
      <c r="C152" s="136" t="s">
        <v>357</v>
      </c>
      <c r="D152" s="119"/>
      <c r="E152" s="119">
        <v>33</v>
      </c>
      <c r="F152" s="119">
        <v>6</v>
      </c>
      <c r="G152" s="127" t="s">
        <v>242</v>
      </c>
      <c r="H152" s="119" t="s">
        <v>195</v>
      </c>
      <c r="I152" s="71">
        <v>0</v>
      </c>
      <c r="J152" s="43" t="s">
        <v>315</v>
      </c>
      <c r="K152" s="44" t="s">
        <v>299</v>
      </c>
      <c r="L152" s="43"/>
      <c r="M152" s="43">
        <v>0</v>
      </c>
      <c r="N152" s="44">
        <v>8</v>
      </c>
      <c r="O152" s="45"/>
    </row>
    <row r="153" spans="2:15" x14ac:dyDescent="0.25">
      <c r="B153" s="115"/>
      <c r="C153" s="137"/>
      <c r="D153" s="113"/>
      <c r="E153" s="113"/>
      <c r="F153" s="113"/>
      <c r="G153" s="128"/>
      <c r="H153" s="113"/>
      <c r="I153" s="68">
        <v>1</v>
      </c>
      <c r="J153" s="46" t="s">
        <v>323</v>
      </c>
      <c r="K153" s="54" t="s">
        <v>371</v>
      </c>
      <c r="L153" s="46"/>
      <c r="M153" s="46">
        <v>8</v>
      </c>
      <c r="N153" s="40">
        <v>8</v>
      </c>
      <c r="O153" s="47"/>
    </row>
    <row r="154" spans="2:15" x14ac:dyDescent="0.25">
      <c r="B154" s="115"/>
      <c r="C154" s="137"/>
      <c r="D154" s="113"/>
      <c r="E154" s="113"/>
      <c r="F154" s="113"/>
      <c r="G154" s="128"/>
      <c r="H154" s="113"/>
      <c r="I154" s="68">
        <v>2</v>
      </c>
      <c r="J154" s="46" t="s">
        <v>331</v>
      </c>
      <c r="K154" s="54" t="s">
        <v>371</v>
      </c>
      <c r="L154" s="46"/>
      <c r="M154" s="46">
        <v>16</v>
      </c>
      <c r="N154" s="40">
        <v>8</v>
      </c>
      <c r="O154" s="47"/>
    </row>
    <row r="155" spans="2:15" x14ac:dyDescent="0.25">
      <c r="B155" s="115"/>
      <c r="C155" s="137"/>
      <c r="D155" s="113"/>
      <c r="E155" s="113"/>
      <c r="F155" s="113"/>
      <c r="G155" s="128"/>
      <c r="H155" s="113"/>
      <c r="I155" s="68">
        <v>3</v>
      </c>
      <c r="J155" s="46" t="s">
        <v>339</v>
      </c>
      <c r="K155" s="40" t="s">
        <v>298</v>
      </c>
      <c r="L155" s="46"/>
      <c r="M155" s="46">
        <v>24</v>
      </c>
      <c r="N155" s="40">
        <v>8</v>
      </c>
      <c r="O155" s="47"/>
    </row>
    <row r="156" spans="2:15" x14ac:dyDescent="0.25">
      <c r="B156" s="115"/>
      <c r="C156" s="137"/>
      <c r="D156" s="113"/>
      <c r="E156" s="113"/>
      <c r="F156" s="113"/>
      <c r="G156" s="128"/>
      <c r="H156" s="113"/>
      <c r="I156" s="68">
        <v>4</v>
      </c>
      <c r="J156" s="46" t="s">
        <v>347</v>
      </c>
      <c r="K156" s="40" t="s">
        <v>298</v>
      </c>
      <c r="L156" s="46"/>
      <c r="M156" s="46">
        <v>32</v>
      </c>
      <c r="N156" s="40">
        <v>8</v>
      </c>
      <c r="O156" s="47"/>
    </row>
    <row r="157" spans="2:15" x14ac:dyDescent="0.25">
      <c r="B157" s="116"/>
      <c r="C157" s="138"/>
      <c r="D157" s="120"/>
      <c r="E157" s="120"/>
      <c r="F157" s="120"/>
      <c r="G157" s="129"/>
      <c r="H157" s="120"/>
      <c r="I157" s="69">
        <v>5</v>
      </c>
      <c r="J157" s="46" t="s">
        <v>365</v>
      </c>
      <c r="K157" s="50" t="s">
        <v>169</v>
      </c>
      <c r="L157" s="49"/>
      <c r="M157" s="49">
        <v>40</v>
      </c>
      <c r="N157" s="50">
        <v>2</v>
      </c>
      <c r="O157" s="51"/>
    </row>
    <row r="158" spans="2:15" x14ac:dyDescent="0.25">
      <c r="B158" s="114"/>
      <c r="C158" s="136" t="s">
        <v>359</v>
      </c>
      <c r="D158" s="119"/>
      <c r="E158" s="119">
        <v>34</v>
      </c>
      <c r="F158" s="119">
        <v>6</v>
      </c>
      <c r="G158" s="127" t="s">
        <v>242</v>
      </c>
      <c r="H158" s="119" t="s">
        <v>195</v>
      </c>
      <c r="I158" s="71">
        <v>0</v>
      </c>
      <c r="J158" s="43" t="s">
        <v>316</v>
      </c>
      <c r="K158" s="44" t="s">
        <v>299</v>
      </c>
      <c r="L158" s="43"/>
      <c r="M158" s="43">
        <v>0</v>
      </c>
      <c r="N158" s="44">
        <v>8</v>
      </c>
      <c r="O158" s="45"/>
    </row>
    <row r="159" spans="2:15" x14ac:dyDescent="0.25">
      <c r="B159" s="115"/>
      <c r="C159" s="137"/>
      <c r="D159" s="113"/>
      <c r="E159" s="113"/>
      <c r="F159" s="113"/>
      <c r="G159" s="128"/>
      <c r="H159" s="113"/>
      <c r="I159" s="68">
        <v>1</v>
      </c>
      <c r="J159" s="46" t="s">
        <v>324</v>
      </c>
      <c r="K159" s="54" t="s">
        <v>371</v>
      </c>
      <c r="L159" s="46"/>
      <c r="M159" s="46">
        <v>8</v>
      </c>
      <c r="N159" s="40">
        <v>8</v>
      </c>
      <c r="O159" s="47"/>
    </row>
    <row r="160" spans="2:15" x14ac:dyDescent="0.25">
      <c r="B160" s="115"/>
      <c r="C160" s="137"/>
      <c r="D160" s="113"/>
      <c r="E160" s="113"/>
      <c r="F160" s="113"/>
      <c r="G160" s="128"/>
      <c r="H160" s="113"/>
      <c r="I160" s="68">
        <v>2</v>
      </c>
      <c r="J160" s="46" t="s">
        <v>332</v>
      </c>
      <c r="K160" s="54" t="s">
        <v>371</v>
      </c>
      <c r="L160" s="46"/>
      <c r="M160" s="46">
        <v>16</v>
      </c>
      <c r="N160" s="40">
        <v>8</v>
      </c>
      <c r="O160" s="47"/>
    </row>
    <row r="161" spans="2:15" x14ac:dyDescent="0.25">
      <c r="B161" s="115"/>
      <c r="C161" s="137"/>
      <c r="D161" s="113"/>
      <c r="E161" s="113"/>
      <c r="F161" s="113"/>
      <c r="G161" s="128"/>
      <c r="H161" s="113"/>
      <c r="I161" s="68">
        <v>3</v>
      </c>
      <c r="J161" s="46" t="s">
        <v>340</v>
      </c>
      <c r="K161" s="40" t="s">
        <v>298</v>
      </c>
      <c r="L161" s="46"/>
      <c r="M161" s="46">
        <v>24</v>
      </c>
      <c r="N161" s="40">
        <v>8</v>
      </c>
      <c r="O161" s="47"/>
    </row>
    <row r="162" spans="2:15" x14ac:dyDescent="0.25">
      <c r="B162" s="115"/>
      <c r="C162" s="137"/>
      <c r="D162" s="113"/>
      <c r="E162" s="113"/>
      <c r="F162" s="113"/>
      <c r="G162" s="128"/>
      <c r="H162" s="113"/>
      <c r="I162" s="68">
        <v>4</v>
      </c>
      <c r="J162" s="46" t="s">
        <v>348</v>
      </c>
      <c r="K162" s="40" t="s">
        <v>298</v>
      </c>
      <c r="L162" s="46"/>
      <c r="M162" s="46">
        <v>32</v>
      </c>
      <c r="N162" s="40">
        <v>8</v>
      </c>
      <c r="O162" s="47"/>
    </row>
    <row r="163" spans="2:15" x14ac:dyDescent="0.25">
      <c r="B163" s="116"/>
      <c r="C163" s="138"/>
      <c r="D163" s="120"/>
      <c r="E163" s="120"/>
      <c r="F163" s="120"/>
      <c r="G163" s="129"/>
      <c r="H163" s="113"/>
      <c r="I163" s="69">
        <v>5</v>
      </c>
      <c r="J163" s="46" t="s">
        <v>366</v>
      </c>
      <c r="K163" s="50" t="s">
        <v>169</v>
      </c>
      <c r="L163" s="46"/>
      <c r="M163" s="49">
        <v>40</v>
      </c>
      <c r="N163" s="50">
        <v>2</v>
      </c>
      <c r="O163" s="47"/>
    </row>
    <row r="164" spans="2:15" x14ac:dyDescent="0.25">
      <c r="B164" s="114"/>
      <c r="C164" s="136" t="s">
        <v>358</v>
      </c>
      <c r="D164" s="119"/>
      <c r="E164" s="119">
        <v>35</v>
      </c>
      <c r="F164" s="119">
        <v>6</v>
      </c>
      <c r="G164" s="127" t="s">
        <v>242</v>
      </c>
      <c r="H164" s="119" t="s">
        <v>254</v>
      </c>
      <c r="I164" s="71">
        <v>0</v>
      </c>
      <c r="J164" s="43" t="s">
        <v>317</v>
      </c>
      <c r="K164" s="44" t="s">
        <v>299</v>
      </c>
      <c r="L164" s="43"/>
      <c r="M164" s="43">
        <v>0</v>
      </c>
      <c r="N164" s="44">
        <v>8</v>
      </c>
      <c r="O164" s="45"/>
    </row>
    <row r="165" spans="2:15" x14ac:dyDescent="0.25">
      <c r="B165" s="115"/>
      <c r="C165" s="137"/>
      <c r="D165" s="113"/>
      <c r="E165" s="113"/>
      <c r="F165" s="113"/>
      <c r="G165" s="128"/>
      <c r="H165" s="113"/>
      <c r="I165" s="68">
        <v>1</v>
      </c>
      <c r="J165" s="46" t="s">
        <v>325</v>
      </c>
      <c r="K165" s="54" t="s">
        <v>371</v>
      </c>
      <c r="L165" s="46"/>
      <c r="M165" s="46">
        <v>8</v>
      </c>
      <c r="N165" s="40">
        <v>8</v>
      </c>
      <c r="O165" s="47"/>
    </row>
    <row r="166" spans="2:15" x14ac:dyDescent="0.25">
      <c r="B166" s="115"/>
      <c r="C166" s="137"/>
      <c r="D166" s="113"/>
      <c r="E166" s="113"/>
      <c r="F166" s="113"/>
      <c r="G166" s="128"/>
      <c r="H166" s="113"/>
      <c r="I166" s="68">
        <v>2</v>
      </c>
      <c r="J166" s="46" t="s">
        <v>333</v>
      </c>
      <c r="K166" s="54" t="s">
        <v>371</v>
      </c>
      <c r="L166" s="46"/>
      <c r="M166" s="46">
        <v>16</v>
      </c>
      <c r="N166" s="40">
        <v>8</v>
      </c>
      <c r="O166" s="47"/>
    </row>
    <row r="167" spans="2:15" x14ac:dyDescent="0.25">
      <c r="B167" s="115"/>
      <c r="C167" s="137"/>
      <c r="D167" s="113"/>
      <c r="E167" s="113"/>
      <c r="F167" s="113"/>
      <c r="G167" s="128"/>
      <c r="H167" s="113"/>
      <c r="I167" s="68">
        <v>3</v>
      </c>
      <c r="J167" s="46" t="s">
        <v>341</v>
      </c>
      <c r="K167" s="40" t="s">
        <v>298</v>
      </c>
      <c r="L167" s="46"/>
      <c r="M167" s="46">
        <v>24</v>
      </c>
      <c r="N167" s="40">
        <v>8</v>
      </c>
      <c r="O167" s="47"/>
    </row>
    <row r="168" spans="2:15" x14ac:dyDescent="0.25">
      <c r="B168" s="115"/>
      <c r="C168" s="137"/>
      <c r="D168" s="113"/>
      <c r="E168" s="113"/>
      <c r="F168" s="113"/>
      <c r="G168" s="128"/>
      <c r="H168" s="113"/>
      <c r="I168" s="68">
        <v>4</v>
      </c>
      <c r="J168" s="46" t="s">
        <v>349</v>
      </c>
      <c r="K168" s="40" t="s">
        <v>298</v>
      </c>
      <c r="L168" s="46"/>
      <c r="M168" s="46">
        <v>32</v>
      </c>
      <c r="N168" s="40">
        <v>8</v>
      </c>
      <c r="O168" s="47"/>
    </row>
    <row r="169" spans="2:15" x14ac:dyDescent="0.25">
      <c r="B169" s="115"/>
      <c r="C169" s="137"/>
      <c r="D169" s="113"/>
      <c r="E169" s="113"/>
      <c r="F169" s="113"/>
      <c r="G169" s="128"/>
      <c r="H169" s="113"/>
      <c r="I169" s="68">
        <v>5</v>
      </c>
      <c r="J169" s="46" t="s">
        <v>367</v>
      </c>
      <c r="K169" s="50" t="s">
        <v>169</v>
      </c>
      <c r="L169" s="46"/>
      <c r="M169" s="49">
        <v>40</v>
      </c>
      <c r="N169" s="50">
        <v>2</v>
      </c>
      <c r="O169" s="47"/>
    </row>
    <row r="170" spans="2:15" x14ac:dyDescent="0.25">
      <c r="B170" s="114"/>
      <c r="C170" s="136" t="s">
        <v>360</v>
      </c>
      <c r="D170" s="119"/>
      <c r="E170" s="119">
        <v>36</v>
      </c>
      <c r="F170" s="119">
        <v>6</v>
      </c>
      <c r="G170" s="127" t="s">
        <v>242</v>
      </c>
      <c r="H170" s="119" t="s">
        <v>254</v>
      </c>
      <c r="I170" s="71">
        <v>0</v>
      </c>
      <c r="J170" s="43" t="s">
        <v>318</v>
      </c>
      <c r="K170" s="44" t="s">
        <v>299</v>
      </c>
      <c r="L170" s="43"/>
      <c r="M170" s="43">
        <v>0</v>
      </c>
      <c r="N170" s="44">
        <v>8</v>
      </c>
      <c r="O170" s="45"/>
    </row>
    <row r="171" spans="2:15" x14ac:dyDescent="0.25">
      <c r="B171" s="115"/>
      <c r="C171" s="137"/>
      <c r="D171" s="113"/>
      <c r="E171" s="113"/>
      <c r="F171" s="113"/>
      <c r="G171" s="128"/>
      <c r="H171" s="113"/>
      <c r="I171" s="68">
        <v>1</v>
      </c>
      <c r="J171" s="46" t="s">
        <v>326</v>
      </c>
      <c r="K171" s="54" t="s">
        <v>371</v>
      </c>
      <c r="L171" s="46"/>
      <c r="M171" s="46">
        <v>8</v>
      </c>
      <c r="N171" s="40">
        <v>8</v>
      </c>
      <c r="O171" s="47"/>
    </row>
    <row r="172" spans="2:15" x14ac:dyDescent="0.25">
      <c r="B172" s="115"/>
      <c r="C172" s="137"/>
      <c r="D172" s="113"/>
      <c r="E172" s="113"/>
      <c r="F172" s="113"/>
      <c r="G172" s="128"/>
      <c r="H172" s="113"/>
      <c r="I172" s="68">
        <v>2</v>
      </c>
      <c r="J172" s="46" t="s">
        <v>334</v>
      </c>
      <c r="K172" s="54" t="s">
        <v>371</v>
      </c>
      <c r="L172" s="46"/>
      <c r="M172" s="46">
        <v>16</v>
      </c>
      <c r="N172" s="40">
        <v>8</v>
      </c>
      <c r="O172" s="47"/>
    </row>
    <row r="173" spans="2:15" x14ac:dyDescent="0.25">
      <c r="B173" s="115"/>
      <c r="C173" s="137"/>
      <c r="D173" s="113"/>
      <c r="E173" s="113"/>
      <c r="F173" s="113"/>
      <c r="G173" s="128"/>
      <c r="H173" s="113"/>
      <c r="I173" s="68">
        <v>3</v>
      </c>
      <c r="J173" s="46" t="s">
        <v>342</v>
      </c>
      <c r="K173" s="40" t="s">
        <v>298</v>
      </c>
      <c r="L173" s="46"/>
      <c r="M173" s="46">
        <v>24</v>
      </c>
      <c r="N173" s="40">
        <v>8</v>
      </c>
      <c r="O173" s="47"/>
    </row>
    <row r="174" spans="2:15" x14ac:dyDescent="0.25">
      <c r="B174" s="115"/>
      <c r="C174" s="137"/>
      <c r="D174" s="113"/>
      <c r="E174" s="113"/>
      <c r="F174" s="113"/>
      <c r="G174" s="128"/>
      <c r="H174" s="113"/>
      <c r="I174" s="68">
        <v>4</v>
      </c>
      <c r="J174" s="46" t="s">
        <v>350</v>
      </c>
      <c r="K174" s="40" t="s">
        <v>298</v>
      </c>
      <c r="L174" s="46"/>
      <c r="M174" s="46">
        <v>32</v>
      </c>
      <c r="N174" s="40">
        <v>8</v>
      </c>
      <c r="O174" s="47"/>
    </row>
    <row r="175" spans="2:15" x14ac:dyDescent="0.25">
      <c r="B175" s="116"/>
      <c r="C175" s="138"/>
      <c r="D175" s="120"/>
      <c r="E175" s="120"/>
      <c r="F175" s="120"/>
      <c r="G175" s="129"/>
      <c r="H175" s="120"/>
      <c r="I175" s="69">
        <v>5</v>
      </c>
      <c r="J175" s="49" t="s">
        <v>368</v>
      </c>
      <c r="K175" s="50" t="s">
        <v>169</v>
      </c>
      <c r="L175" s="49"/>
      <c r="M175" s="49">
        <v>40</v>
      </c>
      <c r="N175" s="50">
        <v>2</v>
      </c>
      <c r="O175" s="51"/>
    </row>
    <row r="176" spans="2:15" x14ac:dyDescent="0.25">
      <c r="B176" s="115"/>
      <c r="C176" s="137" t="s">
        <v>361</v>
      </c>
      <c r="D176" s="113"/>
      <c r="E176" s="113">
        <v>37</v>
      </c>
      <c r="F176" s="113">
        <v>6</v>
      </c>
      <c r="G176" s="128" t="s">
        <v>242</v>
      </c>
      <c r="H176" s="113" t="s">
        <v>255</v>
      </c>
      <c r="I176" s="68">
        <v>0</v>
      </c>
      <c r="J176" s="46" t="s">
        <v>319</v>
      </c>
      <c r="K176" s="44" t="s">
        <v>299</v>
      </c>
      <c r="L176" s="46"/>
      <c r="M176" s="43">
        <v>0</v>
      </c>
      <c r="N176" s="44">
        <v>8</v>
      </c>
      <c r="O176" s="47"/>
    </row>
    <row r="177" spans="2:15" x14ac:dyDescent="0.25">
      <c r="B177" s="115"/>
      <c r="C177" s="137"/>
      <c r="D177" s="113"/>
      <c r="E177" s="113"/>
      <c r="F177" s="113"/>
      <c r="G177" s="128"/>
      <c r="H177" s="113"/>
      <c r="I177" s="68">
        <v>1</v>
      </c>
      <c r="J177" s="46" t="s">
        <v>327</v>
      </c>
      <c r="K177" s="54" t="s">
        <v>371</v>
      </c>
      <c r="L177" s="46"/>
      <c r="M177" s="46">
        <v>8</v>
      </c>
      <c r="N177" s="40">
        <v>8</v>
      </c>
      <c r="O177" s="47"/>
    </row>
    <row r="178" spans="2:15" x14ac:dyDescent="0.25">
      <c r="B178" s="115"/>
      <c r="C178" s="137"/>
      <c r="D178" s="113"/>
      <c r="E178" s="113"/>
      <c r="F178" s="113"/>
      <c r="G178" s="128"/>
      <c r="H178" s="113"/>
      <c r="I178" s="68">
        <v>2</v>
      </c>
      <c r="J178" s="46" t="s">
        <v>335</v>
      </c>
      <c r="K178" s="54" t="s">
        <v>371</v>
      </c>
      <c r="L178" s="46"/>
      <c r="M178" s="46">
        <v>16</v>
      </c>
      <c r="N178" s="40">
        <v>8</v>
      </c>
      <c r="O178" s="47"/>
    </row>
    <row r="179" spans="2:15" ht="14.4" customHeight="1" x14ac:dyDescent="0.25">
      <c r="B179" s="115"/>
      <c r="C179" s="137"/>
      <c r="D179" s="113"/>
      <c r="E179" s="113"/>
      <c r="F179" s="113"/>
      <c r="G179" s="128"/>
      <c r="H179" s="113"/>
      <c r="I179" s="68">
        <v>3</v>
      </c>
      <c r="J179" s="46" t="s">
        <v>343</v>
      </c>
      <c r="K179" s="40" t="s">
        <v>298</v>
      </c>
      <c r="L179" s="46"/>
      <c r="M179" s="46">
        <v>24</v>
      </c>
      <c r="N179" s="40">
        <v>8</v>
      </c>
      <c r="O179" s="47"/>
    </row>
    <row r="180" spans="2:15" x14ac:dyDescent="0.25">
      <c r="B180" s="115"/>
      <c r="C180" s="137"/>
      <c r="D180" s="113"/>
      <c r="E180" s="113"/>
      <c r="F180" s="113"/>
      <c r="G180" s="128"/>
      <c r="H180" s="113"/>
      <c r="I180" s="68">
        <v>4</v>
      </c>
      <c r="J180" s="46" t="s">
        <v>351</v>
      </c>
      <c r="K180" s="40" t="s">
        <v>298</v>
      </c>
      <c r="L180" s="46"/>
      <c r="M180" s="46">
        <v>32</v>
      </c>
      <c r="N180" s="40">
        <v>8</v>
      </c>
      <c r="O180" s="47"/>
    </row>
    <row r="181" spans="2:15" x14ac:dyDescent="0.25">
      <c r="B181" s="116"/>
      <c r="C181" s="138"/>
      <c r="D181" s="120"/>
      <c r="E181" s="120"/>
      <c r="F181" s="120"/>
      <c r="G181" s="129"/>
      <c r="H181" s="120"/>
      <c r="I181" s="69">
        <v>5</v>
      </c>
      <c r="J181" s="46" t="s">
        <v>369</v>
      </c>
      <c r="K181" s="50" t="s">
        <v>169</v>
      </c>
      <c r="L181" s="46"/>
      <c r="M181" s="49">
        <v>40</v>
      </c>
      <c r="N181" s="50">
        <v>2</v>
      </c>
      <c r="O181" s="47"/>
    </row>
    <row r="182" spans="2:15" x14ac:dyDescent="0.25">
      <c r="B182" s="114"/>
      <c r="C182" s="136" t="s">
        <v>362</v>
      </c>
      <c r="D182" s="119"/>
      <c r="E182" s="119">
        <v>38</v>
      </c>
      <c r="F182" s="119">
        <v>6</v>
      </c>
      <c r="G182" s="127" t="s">
        <v>242</v>
      </c>
      <c r="H182" s="119" t="s">
        <v>255</v>
      </c>
      <c r="I182" s="71">
        <v>0</v>
      </c>
      <c r="J182" s="43" t="s">
        <v>320</v>
      </c>
      <c r="K182" s="44" t="s">
        <v>299</v>
      </c>
      <c r="L182" s="43"/>
      <c r="M182" s="43">
        <v>0</v>
      </c>
      <c r="N182" s="44">
        <v>8</v>
      </c>
      <c r="O182" s="45"/>
    </row>
    <row r="183" spans="2:15" x14ac:dyDescent="0.25">
      <c r="B183" s="115"/>
      <c r="C183" s="137"/>
      <c r="D183" s="113"/>
      <c r="E183" s="113"/>
      <c r="F183" s="113"/>
      <c r="G183" s="128"/>
      <c r="H183" s="113"/>
      <c r="I183" s="68">
        <v>1</v>
      </c>
      <c r="J183" s="46" t="s">
        <v>328</v>
      </c>
      <c r="K183" s="54" t="s">
        <v>371</v>
      </c>
      <c r="L183" s="46"/>
      <c r="M183" s="46">
        <v>8</v>
      </c>
      <c r="N183" s="40">
        <v>8</v>
      </c>
      <c r="O183" s="47"/>
    </row>
    <row r="184" spans="2:15" x14ac:dyDescent="0.25">
      <c r="B184" s="115"/>
      <c r="C184" s="137"/>
      <c r="D184" s="113"/>
      <c r="E184" s="113"/>
      <c r="F184" s="113"/>
      <c r="G184" s="128"/>
      <c r="H184" s="113"/>
      <c r="I184" s="68">
        <v>2</v>
      </c>
      <c r="J184" s="46" t="s">
        <v>336</v>
      </c>
      <c r="K184" s="54" t="s">
        <v>371</v>
      </c>
      <c r="L184" s="46"/>
      <c r="M184" s="46">
        <v>16</v>
      </c>
      <c r="N184" s="40">
        <v>8</v>
      </c>
      <c r="O184" s="47"/>
    </row>
    <row r="185" spans="2:15" x14ac:dyDescent="0.25">
      <c r="B185" s="115"/>
      <c r="C185" s="137"/>
      <c r="D185" s="113"/>
      <c r="E185" s="113"/>
      <c r="F185" s="113"/>
      <c r="G185" s="128"/>
      <c r="H185" s="113"/>
      <c r="I185" s="68">
        <v>3</v>
      </c>
      <c r="J185" s="46" t="s">
        <v>344</v>
      </c>
      <c r="K185" s="40" t="s">
        <v>298</v>
      </c>
      <c r="L185" s="46"/>
      <c r="M185" s="46">
        <v>24</v>
      </c>
      <c r="N185" s="40">
        <v>8</v>
      </c>
      <c r="O185" s="47"/>
    </row>
    <row r="186" spans="2:15" x14ac:dyDescent="0.25">
      <c r="B186" s="115"/>
      <c r="C186" s="137"/>
      <c r="D186" s="113"/>
      <c r="E186" s="113"/>
      <c r="F186" s="113"/>
      <c r="G186" s="128"/>
      <c r="H186" s="113"/>
      <c r="I186" s="68">
        <v>4</v>
      </c>
      <c r="J186" s="46" t="s">
        <v>352</v>
      </c>
      <c r="K186" s="40" t="s">
        <v>298</v>
      </c>
      <c r="L186" s="46"/>
      <c r="M186" s="46">
        <v>32</v>
      </c>
      <c r="N186" s="40">
        <v>8</v>
      </c>
      <c r="O186" s="47"/>
    </row>
    <row r="187" spans="2:15" x14ac:dyDescent="0.25">
      <c r="B187" s="116"/>
      <c r="C187" s="138"/>
      <c r="D187" s="120"/>
      <c r="E187" s="120"/>
      <c r="F187" s="120"/>
      <c r="G187" s="129"/>
      <c r="H187" s="120"/>
      <c r="I187" s="69">
        <v>5</v>
      </c>
      <c r="J187" s="49" t="s">
        <v>370</v>
      </c>
      <c r="K187" s="50" t="s">
        <v>169</v>
      </c>
      <c r="L187" s="49"/>
      <c r="M187" s="49">
        <v>40</v>
      </c>
      <c r="N187" s="50">
        <v>2</v>
      </c>
      <c r="O187" s="51"/>
    </row>
    <row r="188" spans="2:15" x14ac:dyDescent="0.25">
      <c r="B188" s="114"/>
      <c r="C188" s="119" t="s">
        <v>378</v>
      </c>
      <c r="D188" s="119"/>
      <c r="E188" s="119">
        <v>40</v>
      </c>
      <c r="F188" s="119"/>
      <c r="G188" s="121" t="s">
        <v>242</v>
      </c>
      <c r="H188" s="121" t="s">
        <v>241</v>
      </c>
      <c r="I188" s="117">
        <v>0</v>
      </c>
      <c r="J188" s="43" t="s">
        <v>385</v>
      </c>
      <c r="K188" s="64" t="s">
        <v>169</v>
      </c>
      <c r="L188" s="43"/>
      <c r="M188" s="43">
        <v>0</v>
      </c>
      <c r="N188" s="64">
        <v>2</v>
      </c>
      <c r="O188" s="45"/>
    </row>
    <row r="189" spans="2:15" x14ac:dyDescent="0.25">
      <c r="B189" s="115"/>
      <c r="C189" s="113"/>
      <c r="D189" s="113"/>
      <c r="E189" s="113"/>
      <c r="F189" s="113"/>
      <c r="G189" s="122"/>
      <c r="H189" s="122"/>
      <c r="I189" s="118"/>
      <c r="J189" s="46" t="s">
        <v>386</v>
      </c>
      <c r="K189" s="63" t="s">
        <v>169</v>
      </c>
      <c r="L189" s="46"/>
      <c r="M189" s="46">
        <v>2</v>
      </c>
      <c r="N189" s="63">
        <v>2</v>
      </c>
      <c r="O189" s="47"/>
    </row>
    <row r="190" spans="2:15" x14ac:dyDescent="0.25">
      <c r="B190" s="114"/>
      <c r="C190" s="119" t="s">
        <v>379</v>
      </c>
      <c r="D190" s="119"/>
      <c r="E190" s="119">
        <v>41</v>
      </c>
      <c r="F190" s="119"/>
      <c r="G190" s="119" t="s">
        <v>241</v>
      </c>
      <c r="H190" s="119" t="s">
        <v>242</v>
      </c>
      <c r="I190" s="71">
        <v>0</v>
      </c>
      <c r="J190" s="43" t="s">
        <v>380</v>
      </c>
      <c r="K190" s="64" t="s">
        <v>169</v>
      </c>
      <c r="L190" s="43"/>
      <c r="M190" s="43">
        <v>0</v>
      </c>
      <c r="N190" s="64">
        <v>8</v>
      </c>
      <c r="O190" s="45"/>
    </row>
    <row r="191" spans="2:15" x14ac:dyDescent="0.25">
      <c r="B191" s="116"/>
      <c r="C191" s="120"/>
      <c r="D191" s="120"/>
      <c r="E191" s="120"/>
      <c r="F191" s="120"/>
      <c r="G191" s="120"/>
      <c r="H191" s="120"/>
      <c r="I191" s="69">
        <v>1</v>
      </c>
      <c r="J191" s="49" t="s">
        <v>381</v>
      </c>
      <c r="K191" s="65" t="s">
        <v>169</v>
      </c>
      <c r="L191" s="49"/>
      <c r="M191" s="49">
        <v>8</v>
      </c>
      <c r="N191" s="65">
        <v>8</v>
      </c>
      <c r="O191" s="51"/>
    </row>
    <row r="192" spans="2:15" x14ac:dyDescent="0.25">
      <c r="B192" s="14"/>
      <c r="C192" s="14"/>
      <c r="D192" s="14"/>
      <c r="E192" s="14"/>
      <c r="F192" s="14"/>
      <c r="G192" s="14"/>
      <c r="H192" s="14"/>
      <c r="J192" s="14"/>
      <c r="K192" s="39"/>
      <c r="L192" s="14"/>
      <c r="M192" s="14"/>
      <c r="N192" s="38"/>
      <c r="O192" s="14"/>
    </row>
    <row r="193" spans="2:15" x14ac:dyDescent="0.25">
      <c r="B193" s="14"/>
      <c r="C193" s="14"/>
      <c r="D193" s="14"/>
      <c r="E193" s="14"/>
      <c r="F193" s="14"/>
      <c r="G193" s="14"/>
      <c r="H193" s="14"/>
      <c r="J193" s="14"/>
      <c r="K193" s="39"/>
      <c r="L193" s="14"/>
      <c r="M193" s="14"/>
      <c r="N193" s="38"/>
      <c r="O193" s="14"/>
    </row>
    <row r="194" spans="2:15" x14ac:dyDescent="0.25">
      <c r="B194" s="14"/>
      <c r="C194" s="14"/>
      <c r="D194" s="14"/>
      <c r="E194" s="14"/>
      <c r="F194" s="14"/>
      <c r="G194" s="14"/>
      <c r="H194" s="14"/>
      <c r="J194" s="14"/>
      <c r="K194" s="39"/>
      <c r="L194" s="14"/>
      <c r="M194" s="14"/>
      <c r="N194" s="38"/>
      <c r="O194" s="14"/>
    </row>
    <row r="195" spans="2:15" x14ac:dyDescent="0.25">
      <c r="B195" s="14"/>
      <c r="C195" s="14"/>
      <c r="D195" s="14"/>
      <c r="E195" s="14"/>
      <c r="F195" s="14"/>
      <c r="G195" s="14"/>
      <c r="H195" s="14"/>
      <c r="J195" s="14"/>
      <c r="K195" s="39"/>
      <c r="L195" s="14"/>
      <c r="M195" s="14"/>
      <c r="N195" s="38"/>
      <c r="O195" s="14"/>
    </row>
    <row r="196" spans="2:15" x14ac:dyDescent="0.25">
      <c r="B196" s="14"/>
      <c r="C196" s="14"/>
      <c r="D196" s="14"/>
      <c r="E196" s="14"/>
      <c r="F196" s="14"/>
      <c r="G196" s="14"/>
      <c r="H196" s="14"/>
      <c r="J196" s="14"/>
      <c r="K196" s="39"/>
      <c r="L196" s="14"/>
      <c r="M196" s="14"/>
      <c r="N196" s="38"/>
      <c r="O196" s="14"/>
    </row>
    <row r="197" spans="2:15" x14ac:dyDescent="0.25">
      <c r="B197" s="14"/>
      <c r="C197" s="14"/>
      <c r="D197" s="14"/>
      <c r="E197" s="14"/>
      <c r="F197" s="14"/>
      <c r="G197" s="14"/>
      <c r="H197" s="14"/>
      <c r="J197" s="14"/>
      <c r="K197" s="39"/>
      <c r="L197" s="14"/>
      <c r="M197" s="14"/>
      <c r="N197" s="38"/>
      <c r="O197" s="14"/>
    </row>
    <row r="198" spans="2:15" x14ac:dyDescent="0.25">
      <c r="B198" s="14"/>
      <c r="C198" s="14"/>
      <c r="D198" s="14"/>
      <c r="E198" s="14"/>
      <c r="F198" s="14"/>
      <c r="G198" s="14"/>
      <c r="H198" s="14"/>
      <c r="J198" s="14"/>
      <c r="K198" s="39"/>
      <c r="L198" s="14"/>
      <c r="M198" s="14"/>
      <c r="N198" s="38"/>
      <c r="O198" s="14"/>
    </row>
    <row r="199" spans="2:15" x14ac:dyDescent="0.25">
      <c r="B199" s="14"/>
      <c r="C199" s="14"/>
      <c r="D199" s="14"/>
      <c r="E199" s="14"/>
      <c r="F199" s="14"/>
      <c r="G199" s="14"/>
      <c r="H199" s="14"/>
      <c r="J199" s="14"/>
      <c r="K199" s="39"/>
      <c r="L199" s="14"/>
      <c r="M199" s="14"/>
      <c r="N199" s="38"/>
      <c r="O199" s="14"/>
    </row>
    <row r="200" spans="2:15" x14ac:dyDescent="0.25">
      <c r="B200" s="14"/>
      <c r="C200" s="14"/>
      <c r="D200" s="14"/>
      <c r="E200" s="14"/>
      <c r="F200" s="14"/>
      <c r="G200" s="14"/>
      <c r="H200" s="14"/>
      <c r="J200" s="14"/>
      <c r="K200" s="39"/>
      <c r="L200" s="14"/>
      <c r="M200" s="14"/>
      <c r="N200" s="38"/>
      <c r="O200" s="14"/>
    </row>
    <row r="201" spans="2:15" x14ac:dyDescent="0.25">
      <c r="B201" s="14"/>
      <c r="C201" s="14"/>
      <c r="D201" s="14"/>
      <c r="E201" s="14"/>
      <c r="F201" s="14"/>
      <c r="G201" s="14"/>
      <c r="H201" s="14"/>
      <c r="J201" s="14"/>
      <c r="K201" s="39"/>
      <c r="L201" s="14"/>
      <c r="M201" s="14"/>
      <c r="N201" s="38"/>
      <c r="O201" s="14"/>
    </row>
    <row r="202" spans="2:15" x14ac:dyDescent="0.25">
      <c r="B202" s="14"/>
      <c r="C202" s="14"/>
      <c r="D202" s="14"/>
      <c r="E202" s="14"/>
      <c r="F202" s="14"/>
      <c r="G202" s="14"/>
      <c r="H202" s="14"/>
      <c r="J202" s="14"/>
      <c r="K202" s="39"/>
      <c r="L202" s="14"/>
      <c r="M202" s="14"/>
      <c r="N202" s="38"/>
      <c r="O202" s="14"/>
    </row>
    <row r="203" spans="2:15" x14ac:dyDescent="0.25">
      <c r="B203" s="14"/>
      <c r="C203" s="14"/>
      <c r="D203" s="14"/>
      <c r="E203" s="14"/>
      <c r="F203" s="14"/>
      <c r="G203" s="14"/>
      <c r="H203" s="14"/>
      <c r="J203" s="14"/>
      <c r="K203" s="39"/>
      <c r="L203" s="14"/>
      <c r="M203" s="14"/>
      <c r="N203" s="38"/>
      <c r="O203" s="14"/>
    </row>
    <row r="204" spans="2:15" x14ac:dyDescent="0.25">
      <c r="B204" s="14"/>
      <c r="C204" s="14"/>
      <c r="D204" s="14"/>
      <c r="E204" s="14"/>
      <c r="F204" s="14"/>
      <c r="G204" s="14"/>
      <c r="H204" s="14"/>
      <c r="J204" s="14"/>
      <c r="K204" s="39"/>
      <c r="L204" s="14"/>
      <c r="M204" s="14"/>
      <c r="N204" s="38"/>
      <c r="O204" s="14"/>
    </row>
    <row r="205" spans="2:15" x14ac:dyDescent="0.25">
      <c r="B205" s="14"/>
      <c r="C205" s="14"/>
      <c r="D205" s="14"/>
      <c r="E205" s="14"/>
      <c r="F205" s="14"/>
      <c r="G205" s="14"/>
      <c r="H205" s="14"/>
      <c r="J205" s="14"/>
      <c r="K205" s="39"/>
      <c r="L205" s="14"/>
      <c r="M205" s="14"/>
      <c r="N205" s="38"/>
      <c r="O205" s="14"/>
    </row>
    <row r="206" spans="2:15" x14ac:dyDescent="0.25">
      <c r="B206" s="14"/>
      <c r="C206" s="14"/>
      <c r="D206" s="14"/>
      <c r="E206" s="14"/>
      <c r="F206" s="14"/>
      <c r="G206" s="14"/>
      <c r="H206" s="14"/>
      <c r="J206" s="14"/>
      <c r="K206" s="39"/>
      <c r="L206" s="14"/>
      <c r="M206" s="14"/>
      <c r="N206" s="38"/>
      <c r="O206" s="14"/>
    </row>
    <row r="207" spans="2:15" x14ac:dyDescent="0.25">
      <c r="B207" s="14"/>
      <c r="C207" s="14"/>
      <c r="D207" s="14"/>
      <c r="E207" s="14"/>
      <c r="F207" s="14"/>
      <c r="G207" s="14"/>
      <c r="H207" s="14"/>
      <c r="J207" s="14"/>
      <c r="K207" s="39"/>
      <c r="L207" s="14"/>
      <c r="M207" s="14"/>
      <c r="N207" s="38"/>
      <c r="O207" s="14"/>
    </row>
    <row r="208" spans="2:15" x14ac:dyDescent="0.25">
      <c r="B208" s="14"/>
      <c r="C208" s="14"/>
      <c r="D208" s="14"/>
      <c r="E208" s="14"/>
      <c r="F208" s="14"/>
      <c r="G208" s="14"/>
      <c r="H208" s="14"/>
      <c r="J208" s="14"/>
      <c r="K208" s="39"/>
      <c r="L208" s="14"/>
      <c r="M208" s="14"/>
      <c r="N208" s="38"/>
      <c r="O208" s="14"/>
    </row>
    <row r="209" spans="2:15" x14ac:dyDescent="0.25">
      <c r="B209" s="14"/>
      <c r="C209" s="14"/>
      <c r="D209" s="14"/>
      <c r="E209" s="14"/>
      <c r="F209" s="14"/>
      <c r="G209" s="14"/>
      <c r="H209" s="14"/>
      <c r="J209" s="14"/>
      <c r="K209" s="39"/>
      <c r="L209" s="14"/>
      <c r="M209" s="14"/>
      <c r="N209" s="38"/>
      <c r="O209" s="14"/>
    </row>
    <row r="210" spans="2:15" x14ac:dyDescent="0.25">
      <c r="B210" s="14"/>
      <c r="C210" s="14"/>
      <c r="D210" s="14"/>
      <c r="E210" s="14"/>
      <c r="F210" s="14"/>
      <c r="G210" s="14"/>
      <c r="H210" s="14"/>
      <c r="J210" s="14"/>
      <c r="K210" s="39"/>
      <c r="L210" s="14"/>
      <c r="M210" s="14"/>
      <c r="N210" s="38"/>
      <c r="O210" s="14"/>
    </row>
    <row r="211" spans="2:15" x14ac:dyDescent="0.25">
      <c r="B211" s="14"/>
      <c r="C211" s="14"/>
      <c r="D211" s="14"/>
      <c r="E211" s="14"/>
      <c r="F211" s="14"/>
      <c r="G211" s="14"/>
      <c r="H211" s="14"/>
      <c r="J211" s="14"/>
      <c r="K211" s="39"/>
      <c r="L211" s="14"/>
      <c r="M211" s="14"/>
      <c r="N211" s="38"/>
      <c r="O211" s="14"/>
    </row>
    <row r="212" spans="2:15" x14ac:dyDescent="0.25">
      <c r="B212" s="14"/>
      <c r="C212" s="14"/>
      <c r="D212" s="14"/>
      <c r="E212" s="14"/>
      <c r="F212" s="14"/>
      <c r="G212" s="14"/>
      <c r="H212" s="14"/>
      <c r="J212" s="14"/>
      <c r="K212" s="39"/>
      <c r="L212" s="14"/>
      <c r="M212" s="14"/>
      <c r="N212" s="38"/>
      <c r="O212" s="14"/>
    </row>
    <row r="213" spans="2:15" x14ac:dyDescent="0.25">
      <c r="B213" s="14"/>
      <c r="C213" s="14"/>
      <c r="D213" s="14"/>
      <c r="E213" s="14"/>
      <c r="F213" s="14"/>
      <c r="G213" s="14"/>
      <c r="H213" s="14"/>
      <c r="J213" s="14"/>
      <c r="K213" s="39"/>
      <c r="L213" s="14"/>
      <c r="M213" s="14"/>
      <c r="N213" s="38"/>
      <c r="O213" s="14"/>
    </row>
    <row r="214" spans="2:15" x14ac:dyDescent="0.25">
      <c r="B214" s="14"/>
      <c r="C214" s="14"/>
      <c r="D214" s="14"/>
      <c r="E214" s="14"/>
      <c r="F214" s="14"/>
      <c r="G214" s="14"/>
      <c r="H214" s="14"/>
      <c r="J214" s="14"/>
      <c r="K214" s="39"/>
      <c r="L214" s="14"/>
      <c r="M214" s="14"/>
      <c r="N214" s="38"/>
      <c r="O214" s="14"/>
    </row>
    <row r="215" spans="2:15" x14ac:dyDescent="0.25">
      <c r="B215" s="14"/>
      <c r="C215" s="14"/>
      <c r="D215" s="14"/>
      <c r="E215" s="14"/>
      <c r="F215" s="14"/>
      <c r="G215" s="14"/>
      <c r="H215" s="14"/>
      <c r="J215" s="14"/>
      <c r="K215" s="39"/>
      <c r="L215" s="14"/>
      <c r="M215" s="14"/>
      <c r="N215" s="38"/>
      <c r="O215" s="14"/>
    </row>
    <row r="216" spans="2:15" x14ac:dyDescent="0.25">
      <c r="B216" s="14"/>
      <c r="C216" s="14"/>
      <c r="D216" s="14"/>
      <c r="E216" s="14"/>
      <c r="F216" s="14"/>
      <c r="G216" s="14"/>
      <c r="H216" s="14"/>
      <c r="J216" s="14"/>
      <c r="K216" s="39"/>
      <c r="L216" s="14"/>
      <c r="M216" s="14"/>
      <c r="N216" s="38"/>
      <c r="O216" s="14"/>
    </row>
    <row r="217" spans="2:15" x14ac:dyDescent="0.25">
      <c r="B217" s="14"/>
      <c r="C217" s="14"/>
      <c r="D217" s="14"/>
      <c r="E217" s="14"/>
      <c r="F217" s="14"/>
      <c r="G217" s="14"/>
      <c r="H217" s="14"/>
      <c r="J217" s="14"/>
      <c r="K217" s="39"/>
      <c r="L217" s="14"/>
      <c r="M217" s="14"/>
      <c r="N217" s="38"/>
      <c r="O217" s="14"/>
    </row>
    <row r="218" spans="2:15" x14ac:dyDescent="0.25">
      <c r="B218" s="14"/>
      <c r="C218" s="14"/>
      <c r="D218" s="14"/>
      <c r="E218" s="14"/>
      <c r="F218" s="14"/>
      <c r="G218" s="14"/>
      <c r="H218" s="14"/>
      <c r="J218" s="14"/>
      <c r="K218" s="39"/>
      <c r="L218" s="14"/>
      <c r="M218" s="14"/>
      <c r="N218" s="38"/>
      <c r="O218" s="14"/>
    </row>
    <row r="219" spans="2:15" x14ac:dyDescent="0.25">
      <c r="B219" s="14"/>
      <c r="C219" s="14"/>
      <c r="D219" s="14"/>
      <c r="E219" s="14"/>
      <c r="F219" s="14"/>
      <c r="G219" s="14"/>
      <c r="H219" s="14"/>
      <c r="J219" s="14"/>
      <c r="K219" s="39"/>
      <c r="L219" s="14"/>
      <c r="M219" s="14"/>
      <c r="N219" s="38"/>
      <c r="O219" s="14"/>
    </row>
    <row r="220" spans="2:15" x14ac:dyDescent="0.25">
      <c r="B220" s="14"/>
      <c r="C220" s="14"/>
      <c r="D220" s="14"/>
      <c r="E220" s="14"/>
      <c r="F220" s="14"/>
      <c r="G220" s="14"/>
      <c r="H220" s="14"/>
      <c r="J220" s="14"/>
      <c r="K220" s="39"/>
      <c r="L220" s="14"/>
      <c r="M220" s="14"/>
      <c r="N220" s="38"/>
      <c r="O220" s="14"/>
    </row>
    <row r="221" spans="2:15" x14ac:dyDescent="0.25">
      <c r="B221" s="14"/>
      <c r="C221" s="14"/>
      <c r="D221" s="14"/>
      <c r="E221" s="14"/>
      <c r="F221" s="14"/>
      <c r="G221" s="14"/>
      <c r="H221" s="14"/>
      <c r="J221" s="14"/>
      <c r="K221" s="39"/>
      <c r="L221" s="14"/>
      <c r="M221" s="14"/>
      <c r="N221" s="38"/>
      <c r="O221" s="14"/>
    </row>
    <row r="222" spans="2:15" x14ac:dyDescent="0.25">
      <c r="B222" s="14"/>
      <c r="C222" s="14"/>
      <c r="D222" s="14"/>
      <c r="E222" s="14"/>
      <c r="F222" s="14"/>
      <c r="G222" s="14"/>
      <c r="H222" s="14"/>
      <c r="J222" s="14"/>
      <c r="K222" s="39"/>
      <c r="L222" s="14"/>
      <c r="M222" s="14"/>
      <c r="N222" s="38"/>
      <c r="O222" s="14"/>
    </row>
    <row r="223" spans="2:15" x14ac:dyDescent="0.25">
      <c r="B223" s="14"/>
      <c r="C223" s="14"/>
      <c r="D223" s="14"/>
      <c r="E223" s="14"/>
      <c r="F223" s="14"/>
      <c r="G223" s="14"/>
      <c r="H223" s="14"/>
      <c r="J223" s="14"/>
      <c r="K223" s="39"/>
      <c r="L223" s="14"/>
      <c r="M223" s="14"/>
      <c r="N223" s="38"/>
      <c r="O223" s="14"/>
    </row>
    <row r="224" spans="2:15" x14ac:dyDescent="0.25">
      <c r="B224" s="14"/>
      <c r="C224" s="14"/>
      <c r="D224" s="14"/>
      <c r="E224" s="14"/>
      <c r="F224" s="14"/>
      <c r="G224" s="14"/>
      <c r="H224" s="14"/>
      <c r="J224" s="14"/>
      <c r="K224" s="39"/>
      <c r="L224" s="14"/>
      <c r="M224" s="14"/>
      <c r="N224" s="38"/>
      <c r="O224" s="14"/>
    </row>
    <row r="225" spans="2:15" x14ac:dyDescent="0.25">
      <c r="B225" s="14"/>
      <c r="C225" s="14"/>
      <c r="D225" s="14"/>
      <c r="E225" s="14"/>
      <c r="F225" s="14"/>
      <c r="G225" s="14"/>
      <c r="H225" s="14"/>
      <c r="J225" s="14"/>
      <c r="K225" s="39"/>
      <c r="L225" s="14"/>
      <c r="M225" s="14"/>
      <c r="N225" s="38"/>
      <c r="O225" s="14"/>
    </row>
    <row r="226" spans="2:15" x14ac:dyDescent="0.25">
      <c r="B226" s="14"/>
      <c r="C226" s="14"/>
      <c r="D226" s="14"/>
      <c r="E226" s="14"/>
      <c r="F226" s="14"/>
      <c r="G226" s="14"/>
      <c r="H226" s="14"/>
      <c r="J226" s="14"/>
      <c r="K226" s="39"/>
      <c r="L226" s="14"/>
      <c r="M226" s="14"/>
      <c r="N226" s="38"/>
      <c r="O226" s="14"/>
    </row>
    <row r="227" spans="2:15" x14ac:dyDescent="0.25">
      <c r="B227" s="14"/>
      <c r="C227" s="14"/>
      <c r="D227" s="14"/>
      <c r="E227" s="14"/>
      <c r="F227" s="14"/>
      <c r="G227" s="14"/>
      <c r="H227" s="14"/>
      <c r="J227" s="14"/>
      <c r="K227" s="39"/>
      <c r="L227" s="14"/>
      <c r="M227" s="14"/>
      <c r="N227" s="38"/>
      <c r="O227" s="14"/>
    </row>
    <row r="228" spans="2:15" x14ac:dyDescent="0.25">
      <c r="B228" s="14"/>
      <c r="C228" s="14"/>
      <c r="D228" s="14"/>
      <c r="E228" s="14"/>
      <c r="F228" s="14"/>
      <c r="G228" s="14"/>
      <c r="H228" s="14"/>
      <c r="J228" s="14"/>
      <c r="K228" s="39"/>
      <c r="L228" s="14"/>
      <c r="M228" s="14"/>
      <c r="N228" s="38"/>
      <c r="O228" s="14"/>
    </row>
    <row r="229" spans="2:15" x14ac:dyDescent="0.25">
      <c r="B229" s="14"/>
      <c r="C229" s="14"/>
      <c r="D229" s="14"/>
      <c r="E229" s="14"/>
      <c r="F229" s="14"/>
      <c r="G229" s="14"/>
      <c r="H229" s="14"/>
      <c r="J229" s="14"/>
      <c r="K229" s="39"/>
      <c r="L229" s="14"/>
      <c r="M229" s="14"/>
      <c r="N229" s="38"/>
      <c r="O229" s="14"/>
    </row>
    <row r="230" spans="2:15" x14ac:dyDescent="0.25">
      <c r="B230" s="14"/>
      <c r="C230" s="14"/>
      <c r="D230" s="14"/>
      <c r="E230" s="14"/>
      <c r="F230" s="14"/>
      <c r="G230" s="14"/>
      <c r="H230" s="14"/>
      <c r="J230" s="14"/>
      <c r="K230" s="39"/>
      <c r="L230" s="14"/>
      <c r="M230" s="14"/>
      <c r="N230" s="38"/>
      <c r="O230" s="14"/>
    </row>
    <row r="231" spans="2:15" x14ac:dyDescent="0.25">
      <c r="B231" s="14"/>
      <c r="C231" s="14"/>
      <c r="D231" s="14"/>
      <c r="E231" s="14"/>
      <c r="F231" s="14"/>
      <c r="G231" s="14"/>
      <c r="H231" s="14"/>
      <c r="J231" s="14"/>
      <c r="K231" s="39"/>
      <c r="L231" s="14"/>
      <c r="M231" s="14"/>
      <c r="N231" s="38"/>
      <c r="O231" s="14"/>
    </row>
    <row r="232" spans="2:15" x14ac:dyDescent="0.25">
      <c r="B232" s="14"/>
      <c r="C232" s="14"/>
      <c r="D232" s="14"/>
      <c r="E232" s="14"/>
      <c r="F232" s="14"/>
      <c r="G232" s="14"/>
      <c r="H232" s="14"/>
      <c r="J232" s="14"/>
      <c r="K232" s="39"/>
      <c r="L232" s="14"/>
      <c r="M232" s="14"/>
      <c r="N232" s="38"/>
      <c r="O232" s="14"/>
    </row>
    <row r="233" spans="2:15" x14ac:dyDescent="0.25">
      <c r="B233" s="14"/>
      <c r="C233" s="14"/>
      <c r="D233" s="14"/>
      <c r="E233" s="14"/>
      <c r="F233" s="14"/>
      <c r="G233" s="14"/>
      <c r="H233" s="14"/>
      <c r="J233" s="14"/>
      <c r="K233" s="39"/>
      <c r="L233" s="14"/>
      <c r="M233" s="14"/>
      <c r="N233" s="38"/>
      <c r="O233" s="14"/>
    </row>
    <row r="234" spans="2:15" x14ac:dyDescent="0.25">
      <c r="B234" s="14"/>
      <c r="C234" s="14"/>
      <c r="D234" s="14"/>
      <c r="E234" s="14"/>
      <c r="F234" s="14"/>
      <c r="G234" s="14"/>
      <c r="H234" s="14"/>
      <c r="J234" s="14"/>
      <c r="K234" s="39"/>
      <c r="L234" s="14"/>
      <c r="M234" s="14"/>
      <c r="N234" s="38"/>
      <c r="O234" s="14"/>
    </row>
    <row r="235" spans="2:15" x14ac:dyDescent="0.25">
      <c r="B235" s="14"/>
      <c r="C235" s="14"/>
      <c r="D235" s="14"/>
      <c r="E235" s="14"/>
      <c r="F235" s="14"/>
      <c r="G235" s="14"/>
      <c r="H235" s="14"/>
      <c r="J235" s="14"/>
      <c r="K235" s="39"/>
      <c r="L235" s="14"/>
      <c r="M235" s="14"/>
      <c r="N235" s="38"/>
      <c r="O235" s="14"/>
    </row>
    <row r="236" spans="2:15" x14ac:dyDescent="0.25">
      <c r="B236" s="14"/>
      <c r="C236" s="14"/>
      <c r="D236" s="14"/>
      <c r="E236" s="14"/>
      <c r="F236" s="14"/>
      <c r="G236" s="14"/>
      <c r="H236" s="14"/>
      <c r="J236" s="14"/>
      <c r="K236" s="39"/>
      <c r="L236" s="14"/>
      <c r="M236" s="14"/>
      <c r="N236" s="38"/>
      <c r="O236" s="14"/>
    </row>
    <row r="237" spans="2:15" x14ac:dyDescent="0.25">
      <c r="B237" s="14"/>
      <c r="C237" s="14"/>
      <c r="D237" s="14"/>
      <c r="E237" s="14"/>
      <c r="F237" s="14"/>
      <c r="G237" s="14"/>
      <c r="H237" s="14"/>
      <c r="J237" s="14"/>
      <c r="K237" s="39"/>
      <c r="L237" s="14"/>
      <c r="M237" s="14"/>
      <c r="N237" s="38"/>
      <c r="O237" s="14"/>
    </row>
    <row r="238" spans="2:15" x14ac:dyDescent="0.25">
      <c r="B238" s="14"/>
      <c r="C238" s="14"/>
      <c r="D238" s="14"/>
      <c r="E238" s="14"/>
      <c r="F238" s="14"/>
      <c r="G238" s="14"/>
      <c r="H238" s="14"/>
      <c r="J238" s="14"/>
      <c r="K238" s="39"/>
      <c r="L238" s="14"/>
      <c r="M238" s="14"/>
      <c r="N238" s="38"/>
      <c r="O238" s="14"/>
    </row>
    <row r="239" spans="2:15" x14ac:dyDescent="0.25">
      <c r="B239" s="14"/>
      <c r="C239" s="14"/>
      <c r="D239" s="14"/>
      <c r="E239" s="14"/>
      <c r="F239" s="14"/>
      <c r="G239" s="14"/>
      <c r="H239" s="14"/>
      <c r="J239" s="14"/>
      <c r="K239" s="39"/>
      <c r="L239" s="14"/>
      <c r="M239" s="14"/>
      <c r="N239" s="38"/>
      <c r="O239" s="14"/>
    </row>
    <row r="240" spans="2:15" x14ac:dyDescent="0.25">
      <c r="B240" s="14"/>
      <c r="C240" s="14"/>
      <c r="D240" s="14"/>
      <c r="E240" s="14"/>
      <c r="F240" s="14"/>
      <c r="G240" s="14"/>
      <c r="H240" s="14"/>
      <c r="J240" s="14"/>
      <c r="K240" s="39"/>
      <c r="L240" s="14"/>
      <c r="M240" s="14"/>
      <c r="N240" s="38"/>
      <c r="O240" s="14"/>
    </row>
    <row r="241" spans="2:15" x14ac:dyDescent="0.25">
      <c r="B241" s="14"/>
      <c r="C241" s="14"/>
      <c r="D241" s="14"/>
      <c r="E241" s="14"/>
      <c r="F241" s="14"/>
      <c r="G241" s="14"/>
      <c r="H241" s="14"/>
      <c r="J241" s="14"/>
      <c r="K241" s="39"/>
      <c r="L241" s="14"/>
      <c r="M241" s="14"/>
      <c r="N241" s="38"/>
      <c r="O241" s="14"/>
    </row>
    <row r="242" spans="2:15" x14ac:dyDescent="0.25">
      <c r="B242" s="14"/>
      <c r="C242" s="14"/>
      <c r="D242" s="14"/>
      <c r="E242" s="14"/>
      <c r="F242" s="14"/>
      <c r="G242" s="14"/>
      <c r="H242" s="14"/>
      <c r="J242" s="14"/>
      <c r="K242" s="39"/>
      <c r="L242" s="14"/>
      <c r="M242" s="14"/>
      <c r="N242" s="38"/>
      <c r="O242" s="14"/>
    </row>
    <row r="243" spans="2:15" x14ac:dyDescent="0.25">
      <c r="B243" s="14"/>
      <c r="C243" s="14"/>
      <c r="D243" s="14"/>
      <c r="E243" s="14"/>
      <c r="F243" s="14"/>
      <c r="G243" s="14"/>
      <c r="H243" s="14"/>
      <c r="J243" s="14"/>
      <c r="K243" s="39"/>
      <c r="L243" s="14"/>
      <c r="M243" s="14"/>
      <c r="N243" s="38"/>
      <c r="O243" s="14"/>
    </row>
    <row r="244" spans="2:15" x14ac:dyDescent="0.25">
      <c r="B244" s="14"/>
      <c r="C244" s="14"/>
      <c r="D244" s="14"/>
      <c r="E244" s="14"/>
      <c r="F244" s="14"/>
      <c r="G244" s="14"/>
      <c r="H244" s="14"/>
      <c r="J244" s="14"/>
      <c r="K244" s="39"/>
      <c r="L244" s="14"/>
      <c r="M244" s="14"/>
      <c r="N244" s="38"/>
      <c r="O244" s="14"/>
    </row>
    <row r="245" spans="2:15" x14ac:dyDescent="0.25">
      <c r="B245" s="14"/>
      <c r="C245" s="14"/>
      <c r="D245" s="14"/>
      <c r="E245" s="14"/>
      <c r="F245" s="14"/>
      <c r="G245" s="14"/>
      <c r="H245" s="14"/>
      <c r="J245" s="14"/>
      <c r="K245" s="39"/>
      <c r="L245" s="14"/>
      <c r="M245" s="14"/>
      <c r="N245" s="38"/>
      <c r="O245" s="14"/>
    </row>
    <row r="246" spans="2:15" x14ac:dyDescent="0.25">
      <c r="B246" s="14"/>
      <c r="C246" s="14"/>
      <c r="D246" s="14"/>
      <c r="E246" s="14"/>
      <c r="F246" s="14"/>
      <c r="G246" s="14"/>
      <c r="H246" s="14"/>
      <c r="J246" s="14"/>
      <c r="K246" s="39"/>
      <c r="L246" s="14"/>
      <c r="M246" s="14"/>
      <c r="N246" s="38"/>
      <c r="O246" s="14"/>
    </row>
    <row r="247" spans="2:15" x14ac:dyDescent="0.25">
      <c r="B247" s="14"/>
      <c r="C247" s="14"/>
      <c r="D247" s="14"/>
      <c r="E247" s="14"/>
      <c r="F247" s="14"/>
      <c r="G247" s="14"/>
      <c r="H247" s="14"/>
      <c r="J247" s="14"/>
      <c r="K247" s="39"/>
      <c r="L247" s="14"/>
      <c r="M247" s="14"/>
      <c r="N247" s="38"/>
      <c r="O247" s="14"/>
    </row>
    <row r="248" spans="2:15" x14ac:dyDescent="0.25">
      <c r="B248" s="14"/>
      <c r="C248" s="14"/>
      <c r="D248" s="14"/>
      <c r="E248" s="14"/>
      <c r="F248" s="14"/>
      <c r="G248" s="14"/>
      <c r="H248" s="14"/>
      <c r="J248" s="14"/>
      <c r="K248" s="39"/>
      <c r="L248" s="14"/>
      <c r="M248" s="14"/>
      <c r="N248" s="38"/>
      <c r="O248" s="14"/>
    </row>
    <row r="249" spans="2:15" x14ac:dyDescent="0.25">
      <c r="B249" s="14"/>
      <c r="C249" s="14"/>
      <c r="D249" s="14"/>
      <c r="E249" s="14"/>
      <c r="F249" s="14"/>
      <c r="G249" s="14"/>
      <c r="H249" s="14"/>
      <c r="J249" s="14"/>
      <c r="K249" s="39"/>
      <c r="L249" s="14"/>
      <c r="M249" s="14"/>
      <c r="N249" s="38"/>
      <c r="O249" s="14"/>
    </row>
    <row r="250" spans="2:15" x14ac:dyDescent="0.25">
      <c r="B250" s="14"/>
      <c r="C250" s="14"/>
      <c r="D250" s="14"/>
      <c r="E250" s="14"/>
      <c r="F250" s="14"/>
      <c r="G250" s="14"/>
      <c r="H250" s="14"/>
      <c r="J250" s="14"/>
      <c r="K250" s="39"/>
      <c r="L250" s="14"/>
      <c r="M250" s="14"/>
      <c r="N250" s="38"/>
      <c r="O250" s="14"/>
    </row>
    <row r="251" spans="2:15" x14ac:dyDescent="0.25">
      <c r="B251" s="14"/>
      <c r="C251" s="14"/>
      <c r="D251" s="14"/>
      <c r="E251" s="14"/>
      <c r="F251" s="14"/>
      <c r="G251" s="14"/>
      <c r="H251" s="14"/>
      <c r="J251" s="14"/>
      <c r="K251" s="39"/>
      <c r="L251" s="14"/>
      <c r="M251" s="14"/>
      <c r="N251" s="38"/>
      <c r="O251" s="14"/>
    </row>
    <row r="252" spans="2:15" x14ac:dyDescent="0.25">
      <c r="B252" s="14"/>
      <c r="C252" s="14"/>
      <c r="D252" s="14"/>
      <c r="E252" s="14"/>
      <c r="F252" s="14"/>
      <c r="G252" s="14"/>
      <c r="H252" s="14"/>
      <c r="J252" s="14"/>
      <c r="K252" s="39"/>
      <c r="L252" s="14"/>
      <c r="M252" s="14"/>
      <c r="N252" s="38"/>
      <c r="O252" s="14"/>
    </row>
    <row r="253" spans="2:15" x14ac:dyDescent="0.25">
      <c r="B253" s="14"/>
      <c r="C253" s="14"/>
      <c r="D253" s="14"/>
      <c r="E253" s="14"/>
      <c r="F253" s="14"/>
      <c r="G253" s="14"/>
      <c r="H253" s="14"/>
      <c r="J253" s="14"/>
      <c r="K253" s="39"/>
      <c r="L253" s="14"/>
      <c r="M253" s="14"/>
      <c r="N253" s="38"/>
      <c r="O253" s="14"/>
    </row>
    <row r="254" spans="2:15" x14ac:dyDescent="0.25">
      <c r="B254" s="14"/>
      <c r="C254" s="14"/>
      <c r="D254" s="14"/>
      <c r="E254" s="14"/>
      <c r="F254" s="14"/>
      <c r="G254" s="14"/>
      <c r="H254" s="14"/>
      <c r="J254" s="14"/>
      <c r="K254" s="39"/>
      <c r="L254" s="14"/>
      <c r="M254" s="14"/>
      <c r="N254" s="38"/>
      <c r="O254" s="14"/>
    </row>
    <row r="255" spans="2:15" x14ac:dyDescent="0.25">
      <c r="B255" s="14"/>
      <c r="C255" s="14"/>
      <c r="D255" s="14"/>
      <c r="E255" s="14"/>
      <c r="F255" s="14"/>
      <c r="G255" s="14"/>
      <c r="H255" s="14"/>
      <c r="J255" s="14"/>
      <c r="K255" s="39"/>
      <c r="L255" s="14"/>
      <c r="M255" s="14"/>
      <c r="N255" s="38"/>
      <c r="O255" s="14"/>
    </row>
    <row r="256" spans="2:15" x14ac:dyDescent="0.25">
      <c r="B256" s="14"/>
      <c r="C256" s="14"/>
      <c r="D256" s="14"/>
      <c r="E256" s="14"/>
      <c r="F256" s="14"/>
      <c r="G256" s="14"/>
      <c r="H256" s="14"/>
      <c r="J256" s="14"/>
      <c r="K256" s="39"/>
      <c r="L256" s="14"/>
      <c r="M256" s="14"/>
      <c r="N256" s="38"/>
      <c r="O256" s="14"/>
    </row>
    <row r="257" spans="2:15" x14ac:dyDescent="0.25">
      <c r="B257" s="14"/>
      <c r="C257" s="14"/>
      <c r="D257" s="14"/>
      <c r="E257" s="14"/>
      <c r="F257" s="14"/>
      <c r="G257" s="14"/>
      <c r="H257" s="14"/>
      <c r="J257" s="14"/>
      <c r="K257" s="39"/>
      <c r="L257" s="14"/>
      <c r="M257" s="14"/>
      <c r="N257" s="38"/>
      <c r="O257" s="14"/>
    </row>
    <row r="258" spans="2:15" x14ac:dyDescent="0.25">
      <c r="B258" s="14"/>
      <c r="C258" s="14"/>
      <c r="D258" s="14"/>
      <c r="E258" s="14"/>
      <c r="F258" s="14"/>
      <c r="G258" s="14"/>
      <c r="H258" s="14"/>
      <c r="J258" s="14"/>
      <c r="K258" s="39"/>
      <c r="L258" s="14"/>
      <c r="M258" s="14"/>
      <c r="N258" s="38"/>
      <c r="O258" s="14"/>
    </row>
    <row r="259" spans="2:15" x14ac:dyDescent="0.25">
      <c r="B259" s="14"/>
      <c r="C259" s="14"/>
      <c r="D259" s="14"/>
      <c r="E259" s="14"/>
      <c r="F259" s="14"/>
      <c r="G259" s="14"/>
      <c r="H259" s="14"/>
      <c r="J259" s="14"/>
      <c r="K259" s="39"/>
      <c r="L259" s="14"/>
      <c r="M259" s="14"/>
      <c r="N259" s="38"/>
      <c r="O259" s="14"/>
    </row>
    <row r="260" spans="2:15" x14ac:dyDescent="0.25">
      <c r="B260" s="14"/>
      <c r="C260" s="14"/>
      <c r="D260" s="14"/>
      <c r="E260" s="14"/>
      <c r="F260" s="14"/>
      <c r="G260" s="14"/>
      <c r="H260" s="14"/>
      <c r="J260" s="14"/>
      <c r="K260" s="39"/>
      <c r="L260" s="14"/>
      <c r="M260" s="14"/>
      <c r="N260" s="38"/>
      <c r="O260" s="14"/>
    </row>
    <row r="261" spans="2:15" x14ac:dyDescent="0.25">
      <c r="B261" s="14"/>
      <c r="C261" s="14"/>
      <c r="D261" s="14"/>
      <c r="E261" s="14"/>
      <c r="F261" s="14"/>
      <c r="G261" s="14"/>
      <c r="H261" s="14"/>
      <c r="J261" s="14"/>
      <c r="K261" s="39"/>
      <c r="L261" s="14"/>
      <c r="M261" s="14"/>
      <c r="N261" s="38"/>
      <c r="O261" s="14"/>
    </row>
    <row r="262" spans="2:15" x14ac:dyDescent="0.25">
      <c r="B262" s="14"/>
      <c r="C262" s="14"/>
      <c r="D262" s="14"/>
      <c r="E262" s="14"/>
      <c r="F262" s="14"/>
      <c r="G262" s="14"/>
      <c r="H262" s="14"/>
      <c r="J262" s="14"/>
      <c r="K262" s="39"/>
      <c r="L262" s="14"/>
      <c r="M262" s="14"/>
      <c r="N262" s="38"/>
      <c r="O262" s="14"/>
    </row>
    <row r="263" spans="2:15" x14ac:dyDescent="0.25">
      <c r="B263" s="14"/>
      <c r="C263" s="14"/>
      <c r="D263" s="14"/>
      <c r="E263" s="14"/>
      <c r="F263" s="14"/>
      <c r="G263" s="14"/>
      <c r="H263" s="14"/>
      <c r="J263" s="14"/>
      <c r="K263" s="39"/>
      <c r="L263" s="14"/>
      <c r="M263" s="14"/>
      <c r="N263" s="38"/>
      <c r="O263" s="14"/>
    </row>
    <row r="264" spans="2:15" x14ac:dyDescent="0.25">
      <c r="B264" s="14"/>
      <c r="C264" s="14"/>
      <c r="D264" s="14"/>
      <c r="E264" s="14"/>
      <c r="F264" s="14"/>
      <c r="G264" s="14"/>
      <c r="H264" s="14"/>
      <c r="J264" s="14"/>
      <c r="K264" s="39"/>
      <c r="L264" s="14"/>
      <c r="M264" s="14"/>
      <c r="N264" s="38"/>
      <c r="O264" s="14"/>
    </row>
    <row r="265" spans="2:15" x14ac:dyDescent="0.25">
      <c r="B265" s="14"/>
      <c r="C265" s="14"/>
      <c r="D265" s="14"/>
      <c r="E265" s="14"/>
      <c r="F265" s="14"/>
      <c r="G265" s="14"/>
      <c r="H265" s="14"/>
      <c r="J265" s="14"/>
      <c r="K265" s="39"/>
      <c r="L265" s="14"/>
      <c r="M265" s="14"/>
      <c r="N265" s="38"/>
      <c r="O265" s="14"/>
    </row>
    <row r="266" spans="2:15" x14ac:dyDescent="0.25">
      <c r="B266" s="14"/>
      <c r="C266" s="14"/>
      <c r="D266" s="14"/>
      <c r="E266" s="14"/>
      <c r="F266" s="14"/>
      <c r="G266" s="14"/>
      <c r="H266" s="14"/>
      <c r="J266" s="14"/>
      <c r="K266" s="39"/>
      <c r="L266" s="14"/>
      <c r="M266" s="14"/>
      <c r="N266" s="38"/>
      <c r="O266" s="14"/>
    </row>
    <row r="267" spans="2:15" x14ac:dyDescent="0.25">
      <c r="B267" s="14"/>
      <c r="C267" s="14"/>
      <c r="D267" s="14"/>
      <c r="E267" s="14"/>
      <c r="F267" s="14"/>
      <c r="G267" s="14"/>
      <c r="H267" s="14"/>
      <c r="J267" s="14"/>
      <c r="K267" s="39"/>
      <c r="L267" s="14"/>
      <c r="M267" s="14"/>
      <c r="N267" s="38"/>
      <c r="O267" s="14"/>
    </row>
    <row r="268" spans="2:15" x14ac:dyDescent="0.25">
      <c r="B268" s="14"/>
      <c r="C268" s="14"/>
      <c r="D268" s="14"/>
      <c r="E268" s="14"/>
      <c r="F268" s="14"/>
      <c r="G268" s="14"/>
      <c r="H268" s="14"/>
      <c r="J268" s="14"/>
      <c r="K268" s="39"/>
      <c r="L268" s="14"/>
      <c r="M268" s="14"/>
      <c r="N268" s="38"/>
      <c r="O268" s="14"/>
    </row>
    <row r="269" spans="2:15" x14ac:dyDescent="0.25">
      <c r="B269" s="14"/>
      <c r="C269" s="14"/>
      <c r="D269" s="14"/>
      <c r="E269" s="14"/>
      <c r="F269" s="14"/>
      <c r="G269" s="14"/>
      <c r="H269" s="14"/>
      <c r="J269" s="14"/>
      <c r="K269" s="39"/>
      <c r="L269" s="14"/>
      <c r="M269" s="14"/>
      <c r="N269" s="38"/>
      <c r="O269" s="14"/>
    </row>
    <row r="270" spans="2:15" x14ac:dyDescent="0.25">
      <c r="B270" s="14"/>
      <c r="C270" s="14"/>
      <c r="D270" s="14"/>
      <c r="E270" s="14"/>
      <c r="F270" s="14"/>
      <c r="G270" s="14"/>
      <c r="H270" s="14"/>
      <c r="J270" s="14"/>
      <c r="K270" s="39"/>
      <c r="L270" s="14"/>
      <c r="M270" s="14"/>
      <c r="N270" s="38"/>
      <c r="O270" s="14"/>
    </row>
    <row r="271" spans="2:15" x14ac:dyDescent="0.25">
      <c r="B271" s="14"/>
      <c r="C271" s="14"/>
      <c r="D271" s="14"/>
      <c r="E271" s="14"/>
      <c r="F271" s="14"/>
      <c r="G271" s="14"/>
      <c r="H271" s="14"/>
      <c r="J271" s="14"/>
      <c r="K271" s="39"/>
      <c r="L271" s="14"/>
      <c r="M271" s="14"/>
      <c r="N271" s="38"/>
      <c r="O271" s="14"/>
    </row>
    <row r="272" spans="2:15" x14ac:dyDescent="0.25">
      <c r="B272" s="14"/>
      <c r="C272" s="14"/>
      <c r="D272" s="14"/>
      <c r="E272" s="14"/>
      <c r="F272" s="14"/>
      <c r="G272" s="14"/>
      <c r="H272" s="14"/>
      <c r="J272" s="14"/>
      <c r="K272" s="39"/>
      <c r="L272" s="14"/>
      <c r="M272" s="14"/>
      <c r="N272" s="38"/>
      <c r="O272" s="14"/>
    </row>
    <row r="273" spans="2:15" x14ac:dyDescent="0.25">
      <c r="B273" s="14"/>
      <c r="C273" s="14"/>
      <c r="D273" s="14"/>
      <c r="E273" s="14"/>
      <c r="F273" s="14"/>
      <c r="G273" s="14"/>
      <c r="H273" s="14"/>
      <c r="J273" s="14"/>
      <c r="K273" s="39"/>
      <c r="L273" s="14"/>
      <c r="M273" s="14"/>
      <c r="N273" s="38"/>
      <c r="O273" s="14"/>
    </row>
    <row r="274" spans="2:15" x14ac:dyDescent="0.25">
      <c r="B274" s="14"/>
      <c r="C274" s="14"/>
      <c r="D274" s="14"/>
      <c r="E274" s="14"/>
      <c r="F274" s="14"/>
      <c r="G274" s="14"/>
      <c r="H274" s="14"/>
      <c r="J274" s="14"/>
      <c r="K274" s="39"/>
      <c r="L274" s="14"/>
      <c r="M274" s="14"/>
      <c r="N274" s="38"/>
      <c r="O274" s="14"/>
    </row>
    <row r="275" spans="2:15" x14ac:dyDescent="0.25">
      <c r="B275" s="14"/>
      <c r="C275" s="14"/>
      <c r="D275" s="14"/>
      <c r="E275" s="14"/>
      <c r="F275" s="14"/>
      <c r="G275" s="14"/>
      <c r="H275" s="14"/>
      <c r="J275" s="14"/>
      <c r="K275" s="39"/>
      <c r="L275" s="14"/>
      <c r="M275" s="14"/>
      <c r="N275" s="38"/>
      <c r="O275" s="14"/>
    </row>
    <row r="276" spans="2:15" x14ac:dyDescent="0.25">
      <c r="B276" s="14"/>
      <c r="C276" s="14"/>
      <c r="D276" s="14"/>
      <c r="E276" s="14"/>
      <c r="F276" s="14"/>
      <c r="G276" s="14"/>
      <c r="H276" s="14"/>
      <c r="J276" s="14"/>
      <c r="K276" s="39"/>
      <c r="L276" s="14"/>
      <c r="M276" s="14"/>
      <c r="N276" s="38"/>
      <c r="O276" s="14"/>
    </row>
    <row r="277" spans="2:15" x14ac:dyDescent="0.25">
      <c r="B277" s="14"/>
      <c r="C277" s="14"/>
      <c r="D277" s="14"/>
      <c r="E277" s="14"/>
      <c r="F277" s="14"/>
      <c r="G277" s="14"/>
      <c r="H277" s="14"/>
      <c r="J277" s="14"/>
      <c r="K277" s="39"/>
      <c r="L277" s="14"/>
      <c r="M277" s="14"/>
      <c r="N277" s="38"/>
      <c r="O277" s="14"/>
    </row>
    <row r="278" spans="2:15" x14ac:dyDescent="0.25">
      <c r="B278" s="14"/>
      <c r="C278" s="14"/>
      <c r="D278" s="14"/>
      <c r="E278" s="14"/>
      <c r="F278" s="14"/>
      <c r="G278" s="14"/>
      <c r="H278" s="14"/>
      <c r="J278" s="14"/>
      <c r="K278" s="39"/>
      <c r="L278" s="14"/>
      <c r="M278" s="14"/>
      <c r="N278" s="38"/>
      <c r="O278" s="14"/>
    </row>
    <row r="279" spans="2:15" x14ac:dyDescent="0.25">
      <c r="B279" s="14"/>
      <c r="C279" s="14"/>
      <c r="D279" s="14"/>
      <c r="E279" s="14"/>
      <c r="F279" s="14"/>
      <c r="G279" s="14"/>
      <c r="H279" s="14"/>
      <c r="J279" s="14"/>
      <c r="K279" s="39"/>
      <c r="L279" s="14"/>
      <c r="M279" s="14"/>
      <c r="N279" s="38"/>
      <c r="O279" s="14"/>
    </row>
    <row r="280" spans="2:15" x14ac:dyDescent="0.25">
      <c r="B280" s="14"/>
      <c r="C280" s="14"/>
      <c r="D280" s="14"/>
      <c r="E280" s="14"/>
      <c r="F280" s="14"/>
      <c r="G280" s="14"/>
      <c r="H280" s="14"/>
      <c r="J280" s="14"/>
      <c r="K280" s="39"/>
      <c r="L280" s="14"/>
      <c r="M280" s="14"/>
      <c r="N280" s="38"/>
      <c r="O280" s="14"/>
    </row>
    <row r="281" spans="2:15" x14ac:dyDescent="0.25">
      <c r="B281" s="14"/>
      <c r="C281" s="14"/>
      <c r="D281" s="14"/>
      <c r="E281" s="14"/>
      <c r="F281" s="14"/>
      <c r="G281" s="14"/>
      <c r="H281" s="14"/>
      <c r="J281" s="14"/>
      <c r="K281" s="39"/>
      <c r="L281" s="14"/>
      <c r="M281" s="14"/>
      <c r="N281" s="38"/>
      <c r="O281" s="14"/>
    </row>
    <row r="282" spans="2:15" x14ac:dyDescent="0.25">
      <c r="B282" s="14"/>
      <c r="C282" s="14"/>
      <c r="D282" s="14"/>
      <c r="E282" s="14"/>
      <c r="F282" s="14"/>
      <c r="G282" s="14"/>
      <c r="H282" s="14"/>
      <c r="J282" s="14"/>
      <c r="K282" s="39"/>
      <c r="L282" s="14"/>
      <c r="M282" s="14"/>
      <c r="N282" s="38"/>
      <c r="O282" s="14"/>
    </row>
    <row r="283" spans="2:15" x14ac:dyDescent="0.25">
      <c r="B283" s="14"/>
      <c r="C283" s="14"/>
      <c r="D283" s="14"/>
      <c r="E283" s="14"/>
      <c r="F283" s="14"/>
      <c r="G283" s="14"/>
      <c r="H283" s="14"/>
      <c r="J283" s="14"/>
      <c r="K283" s="39"/>
      <c r="L283" s="14"/>
      <c r="M283" s="14"/>
      <c r="N283" s="38"/>
      <c r="O283" s="14"/>
    </row>
    <row r="284" spans="2:15" x14ac:dyDescent="0.25">
      <c r="B284" s="14"/>
      <c r="C284" s="14"/>
      <c r="D284" s="14"/>
      <c r="E284" s="14"/>
      <c r="F284" s="14"/>
      <c r="G284" s="14"/>
      <c r="H284" s="14"/>
      <c r="J284" s="14"/>
      <c r="K284" s="39"/>
      <c r="L284" s="14"/>
      <c r="M284" s="14"/>
      <c r="N284" s="38"/>
      <c r="O284" s="14"/>
    </row>
    <row r="285" spans="2:15" x14ac:dyDescent="0.25">
      <c r="B285" s="14"/>
      <c r="C285" s="14"/>
      <c r="D285" s="14"/>
      <c r="E285" s="14"/>
      <c r="F285" s="14"/>
      <c r="G285" s="14"/>
      <c r="H285" s="14"/>
      <c r="J285" s="14"/>
      <c r="K285" s="39"/>
      <c r="L285" s="14"/>
      <c r="M285" s="14"/>
      <c r="N285" s="38"/>
      <c r="O285" s="14"/>
    </row>
    <row r="286" spans="2:15" x14ac:dyDescent="0.25">
      <c r="B286" s="14"/>
      <c r="C286" s="14"/>
      <c r="D286" s="14"/>
      <c r="E286" s="14"/>
      <c r="F286" s="14"/>
      <c r="G286" s="14"/>
      <c r="H286" s="14"/>
      <c r="J286" s="14"/>
      <c r="K286" s="39"/>
      <c r="L286" s="14"/>
      <c r="M286" s="14"/>
      <c r="N286" s="38"/>
      <c r="O286" s="14"/>
    </row>
    <row r="287" spans="2:15" x14ac:dyDescent="0.25">
      <c r="B287" s="14"/>
      <c r="C287" s="14"/>
      <c r="D287" s="14"/>
      <c r="E287" s="14"/>
      <c r="F287" s="14"/>
      <c r="G287" s="14"/>
      <c r="H287" s="14"/>
      <c r="J287" s="14"/>
      <c r="K287" s="39"/>
      <c r="L287" s="14"/>
      <c r="M287" s="14"/>
      <c r="N287" s="38"/>
      <c r="O287" s="14"/>
    </row>
    <row r="288" spans="2:15" x14ac:dyDescent="0.25">
      <c r="B288" s="14"/>
      <c r="C288" s="14"/>
      <c r="D288" s="14"/>
      <c r="E288" s="14"/>
      <c r="F288" s="14"/>
      <c r="G288" s="14"/>
      <c r="H288" s="14"/>
      <c r="J288" s="14"/>
      <c r="K288" s="39"/>
      <c r="L288" s="14"/>
      <c r="M288" s="14"/>
      <c r="N288" s="38"/>
      <c r="O288" s="14"/>
    </row>
    <row r="289" spans="2:15" x14ac:dyDescent="0.25">
      <c r="B289" s="14"/>
      <c r="C289" s="14"/>
      <c r="D289" s="14"/>
      <c r="E289" s="14"/>
      <c r="F289" s="14"/>
      <c r="G289" s="14"/>
      <c r="H289" s="14"/>
      <c r="J289" s="14"/>
      <c r="K289" s="39"/>
      <c r="L289" s="14"/>
      <c r="M289" s="14"/>
      <c r="N289" s="38"/>
      <c r="O289" s="14"/>
    </row>
    <row r="290" spans="2:15" x14ac:dyDescent="0.25">
      <c r="B290" s="14"/>
      <c r="C290" s="14"/>
      <c r="D290" s="14"/>
      <c r="E290" s="14"/>
      <c r="F290" s="14"/>
      <c r="G290" s="14"/>
      <c r="H290" s="14"/>
      <c r="J290" s="14"/>
      <c r="K290" s="39"/>
      <c r="L290" s="14"/>
      <c r="M290" s="14"/>
      <c r="N290" s="38"/>
      <c r="O290" s="14"/>
    </row>
    <row r="291" spans="2:15" x14ac:dyDescent="0.25">
      <c r="B291" s="14"/>
      <c r="C291" s="14"/>
      <c r="D291" s="14"/>
      <c r="E291" s="14"/>
      <c r="F291" s="14"/>
      <c r="G291" s="14"/>
      <c r="H291" s="14"/>
      <c r="J291" s="14"/>
      <c r="K291" s="39"/>
      <c r="L291" s="14"/>
      <c r="M291" s="14"/>
      <c r="N291" s="38"/>
      <c r="O291" s="14"/>
    </row>
    <row r="292" spans="2:15" x14ac:dyDescent="0.25">
      <c r="B292" s="14"/>
      <c r="C292" s="14"/>
      <c r="D292" s="14"/>
      <c r="E292" s="14"/>
      <c r="F292" s="14"/>
      <c r="G292" s="14"/>
      <c r="H292" s="14"/>
      <c r="J292" s="14"/>
      <c r="K292" s="39"/>
      <c r="L292" s="14"/>
      <c r="M292" s="14"/>
      <c r="N292" s="38"/>
      <c r="O292" s="14"/>
    </row>
    <row r="293" spans="2:15" x14ac:dyDescent="0.25">
      <c r="B293" s="14"/>
      <c r="C293" s="14"/>
      <c r="D293" s="14"/>
      <c r="E293" s="14"/>
      <c r="F293" s="14"/>
      <c r="G293" s="14"/>
      <c r="H293" s="14"/>
      <c r="J293" s="14"/>
      <c r="K293" s="39"/>
      <c r="L293" s="14"/>
      <c r="M293" s="14"/>
      <c r="N293" s="38"/>
      <c r="O293" s="14"/>
    </row>
    <row r="294" spans="2:15" x14ac:dyDescent="0.25">
      <c r="B294" s="14"/>
      <c r="C294" s="14"/>
      <c r="D294" s="14"/>
      <c r="E294" s="14"/>
      <c r="F294" s="14"/>
      <c r="G294" s="14"/>
      <c r="H294" s="14"/>
      <c r="J294" s="14"/>
      <c r="K294" s="39"/>
      <c r="L294" s="14"/>
      <c r="M294" s="14"/>
      <c r="N294" s="38"/>
      <c r="O294" s="14"/>
    </row>
    <row r="295" spans="2:15" x14ac:dyDescent="0.25">
      <c r="B295" s="14"/>
      <c r="C295" s="14"/>
      <c r="D295" s="14"/>
      <c r="E295" s="14"/>
      <c r="F295" s="14"/>
      <c r="G295" s="14"/>
      <c r="H295" s="14"/>
      <c r="J295" s="14"/>
      <c r="K295" s="39"/>
      <c r="L295" s="14"/>
      <c r="M295" s="14"/>
      <c r="N295" s="38"/>
      <c r="O295" s="14"/>
    </row>
    <row r="296" spans="2:15" x14ac:dyDescent="0.25">
      <c r="B296" s="14"/>
      <c r="C296" s="14"/>
      <c r="D296" s="14"/>
      <c r="E296" s="14"/>
      <c r="F296" s="14"/>
      <c r="G296" s="14"/>
      <c r="H296" s="14"/>
      <c r="J296" s="14"/>
      <c r="K296" s="39"/>
      <c r="L296" s="14"/>
      <c r="M296" s="14"/>
      <c r="N296" s="38"/>
      <c r="O296" s="14"/>
    </row>
    <row r="297" spans="2:15" x14ac:dyDescent="0.25">
      <c r="B297" s="14"/>
      <c r="C297" s="14"/>
      <c r="D297" s="14"/>
      <c r="E297" s="14"/>
      <c r="F297" s="14"/>
      <c r="G297" s="14"/>
      <c r="H297" s="14"/>
      <c r="J297" s="14"/>
      <c r="K297" s="39"/>
      <c r="L297" s="14"/>
      <c r="M297" s="14"/>
      <c r="N297" s="38"/>
      <c r="O297" s="14"/>
    </row>
    <row r="298" spans="2:15" x14ac:dyDescent="0.25">
      <c r="B298" s="14"/>
      <c r="C298" s="14"/>
      <c r="D298" s="14"/>
      <c r="E298" s="14"/>
      <c r="F298" s="14"/>
      <c r="G298" s="14"/>
      <c r="H298" s="14"/>
      <c r="J298" s="14"/>
      <c r="K298" s="39"/>
      <c r="L298" s="14"/>
      <c r="M298" s="14"/>
      <c r="N298" s="38"/>
      <c r="O298" s="14"/>
    </row>
    <row r="299" spans="2:15" x14ac:dyDescent="0.25">
      <c r="B299" s="14"/>
      <c r="C299" s="14"/>
      <c r="D299" s="14"/>
      <c r="E299" s="14"/>
      <c r="F299" s="14"/>
      <c r="G299" s="14"/>
      <c r="H299" s="14"/>
      <c r="J299" s="14"/>
      <c r="K299" s="39"/>
      <c r="L299" s="14"/>
      <c r="M299" s="14"/>
      <c r="N299" s="38"/>
      <c r="O299" s="14"/>
    </row>
    <row r="300" spans="2:15" x14ac:dyDescent="0.25">
      <c r="B300" s="14"/>
      <c r="C300" s="14"/>
      <c r="D300" s="14"/>
      <c r="E300" s="14"/>
      <c r="F300" s="14"/>
      <c r="G300" s="14"/>
      <c r="H300" s="14"/>
      <c r="J300" s="14"/>
      <c r="K300" s="39"/>
      <c r="L300" s="14"/>
      <c r="M300" s="14"/>
      <c r="N300" s="38"/>
      <c r="O300" s="14"/>
    </row>
    <row r="301" spans="2:15" x14ac:dyDescent="0.25">
      <c r="B301" s="14"/>
      <c r="C301" s="14"/>
      <c r="D301" s="14"/>
      <c r="E301" s="14"/>
      <c r="F301" s="14"/>
      <c r="G301" s="14"/>
      <c r="H301" s="14"/>
      <c r="J301" s="14"/>
      <c r="K301" s="39"/>
      <c r="L301" s="14"/>
      <c r="M301" s="14"/>
      <c r="N301" s="38"/>
      <c r="O301" s="14"/>
    </row>
    <row r="302" spans="2:15" x14ac:dyDescent="0.25">
      <c r="B302" s="14"/>
      <c r="C302" s="14"/>
      <c r="D302" s="14"/>
      <c r="E302" s="14"/>
      <c r="F302" s="14"/>
      <c r="G302" s="14"/>
      <c r="H302" s="14"/>
      <c r="J302" s="14"/>
      <c r="K302" s="39"/>
      <c r="L302" s="14"/>
      <c r="M302" s="14"/>
      <c r="N302" s="38"/>
      <c r="O302" s="14"/>
    </row>
    <row r="303" spans="2:15" x14ac:dyDescent="0.25">
      <c r="B303" s="14"/>
      <c r="C303" s="14"/>
      <c r="D303" s="14"/>
      <c r="E303" s="14"/>
      <c r="F303" s="14"/>
      <c r="G303" s="14"/>
      <c r="H303" s="14"/>
      <c r="J303" s="14"/>
      <c r="K303" s="39"/>
      <c r="L303" s="14"/>
      <c r="M303" s="14"/>
      <c r="N303" s="38"/>
      <c r="O303" s="14"/>
    </row>
    <row r="304" spans="2:15" x14ac:dyDescent="0.25">
      <c r="B304" s="14"/>
      <c r="C304" s="14"/>
      <c r="D304" s="14"/>
      <c r="E304" s="14"/>
      <c r="F304" s="14"/>
      <c r="G304" s="14"/>
      <c r="H304" s="14"/>
      <c r="J304" s="14"/>
      <c r="K304" s="39"/>
      <c r="L304" s="14"/>
      <c r="M304" s="14"/>
      <c r="N304" s="38"/>
      <c r="O304" s="14"/>
    </row>
    <row r="305" spans="2:15" x14ac:dyDescent="0.25">
      <c r="B305" s="14"/>
      <c r="C305" s="14"/>
      <c r="D305" s="14"/>
      <c r="E305" s="14"/>
      <c r="F305" s="14"/>
      <c r="G305" s="14"/>
      <c r="H305" s="14"/>
      <c r="J305" s="14"/>
      <c r="K305" s="39"/>
      <c r="L305" s="14"/>
      <c r="M305" s="14"/>
      <c r="N305" s="38"/>
      <c r="O305" s="14"/>
    </row>
    <row r="306" spans="2:15" x14ac:dyDescent="0.25">
      <c r="B306" s="14"/>
      <c r="C306" s="14"/>
      <c r="D306" s="14"/>
      <c r="E306" s="14"/>
      <c r="F306" s="14"/>
      <c r="G306" s="14"/>
      <c r="H306" s="14"/>
      <c r="J306" s="14"/>
      <c r="K306" s="39"/>
      <c r="L306" s="14"/>
      <c r="M306" s="14"/>
      <c r="N306" s="38"/>
      <c r="O306" s="14"/>
    </row>
    <row r="307" spans="2:15" x14ac:dyDescent="0.25">
      <c r="B307" s="14"/>
      <c r="C307" s="14"/>
      <c r="D307" s="14"/>
      <c r="E307" s="14"/>
      <c r="F307" s="14"/>
      <c r="G307" s="14"/>
      <c r="H307" s="14"/>
      <c r="J307" s="14"/>
      <c r="K307" s="39"/>
      <c r="L307" s="14"/>
      <c r="M307" s="14"/>
      <c r="N307" s="38"/>
      <c r="O307" s="14"/>
    </row>
    <row r="308" spans="2:15" x14ac:dyDescent="0.25">
      <c r="B308" s="14"/>
      <c r="C308" s="14"/>
      <c r="D308" s="14"/>
      <c r="E308" s="14"/>
      <c r="F308" s="14"/>
      <c r="G308" s="14"/>
      <c r="H308" s="14"/>
      <c r="J308" s="14"/>
      <c r="K308" s="39"/>
      <c r="L308" s="14"/>
      <c r="M308" s="14"/>
      <c r="N308" s="38"/>
      <c r="O308" s="14"/>
    </row>
    <row r="309" spans="2:15" x14ac:dyDescent="0.25">
      <c r="B309" s="14"/>
      <c r="C309" s="14"/>
      <c r="D309" s="14"/>
      <c r="E309" s="14"/>
      <c r="F309" s="14"/>
      <c r="G309" s="14"/>
      <c r="H309" s="14"/>
      <c r="J309" s="14"/>
      <c r="K309" s="39"/>
      <c r="L309" s="14"/>
      <c r="M309" s="14"/>
      <c r="N309" s="38"/>
      <c r="O309" s="14"/>
    </row>
    <row r="310" spans="2:15" x14ac:dyDescent="0.25">
      <c r="B310" s="14"/>
      <c r="C310" s="14"/>
      <c r="D310" s="14"/>
      <c r="E310" s="14"/>
      <c r="F310" s="14"/>
      <c r="G310" s="14"/>
      <c r="H310" s="14"/>
      <c r="J310" s="14"/>
      <c r="K310" s="39"/>
      <c r="L310" s="14"/>
      <c r="M310" s="14"/>
      <c r="N310" s="38"/>
      <c r="O310" s="14"/>
    </row>
    <row r="311" spans="2:15" x14ac:dyDescent="0.25">
      <c r="B311" s="14"/>
      <c r="C311" s="14"/>
      <c r="D311" s="14"/>
      <c r="E311" s="14"/>
      <c r="F311" s="14"/>
      <c r="G311" s="14"/>
      <c r="H311" s="14"/>
      <c r="J311" s="14"/>
      <c r="K311" s="39"/>
      <c r="L311" s="14"/>
      <c r="M311" s="14"/>
      <c r="N311" s="38"/>
      <c r="O311" s="14"/>
    </row>
    <row r="312" spans="2:15" x14ac:dyDescent="0.25">
      <c r="B312" s="14"/>
      <c r="C312" s="14"/>
      <c r="D312" s="14"/>
      <c r="E312" s="14"/>
      <c r="F312" s="14"/>
      <c r="G312" s="14"/>
      <c r="H312" s="14"/>
      <c r="J312" s="14"/>
      <c r="K312" s="39"/>
      <c r="L312" s="14"/>
      <c r="M312" s="14"/>
      <c r="N312" s="38"/>
      <c r="O312" s="14"/>
    </row>
    <row r="313" spans="2:15" x14ac:dyDescent="0.25">
      <c r="B313" s="14"/>
      <c r="C313" s="14"/>
      <c r="D313" s="14"/>
      <c r="E313" s="14"/>
      <c r="F313" s="14"/>
      <c r="G313" s="14"/>
      <c r="H313" s="14"/>
      <c r="J313" s="14"/>
      <c r="K313" s="39"/>
      <c r="L313" s="14"/>
      <c r="M313" s="14"/>
      <c r="N313" s="38"/>
      <c r="O313" s="14"/>
    </row>
    <row r="314" spans="2:15" x14ac:dyDescent="0.25">
      <c r="B314" s="14"/>
      <c r="C314" s="14"/>
      <c r="D314" s="14"/>
      <c r="E314" s="14"/>
      <c r="F314" s="14"/>
      <c r="G314" s="14"/>
      <c r="H314" s="14"/>
      <c r="J314" s="14"/>
      <c r="K314" s="39"/>
      <c r="L314" s="14"/>
      <c r="M314" s="14"/>
      <c r="N314" s="38"/>
      <c r="O314" s="14"/>
    </row>
    <row r="315" spans="2:15" x14ac:dyDescent="0.25">
      <c r="B315" s="14"/>
      <c r="C315" s="14"/>
      <c r="D315" s="14"/>
      <c r="E315" s="14"/>
      <c r="F315" s="14"/>
      <c r="G315" s="14"/>
      <c r="H315" s="14"/>
      <c r="J315" s="14"/>
      <c r="K315" s="39"/>
      <c r="L315" s="14"/>
      <c r="M315" s="14"/>
      <c r="N315" s="38"/>
      <c r="O315" s="14"/>
    </row>
    <row r="316" spans="2:15" x14ac:dyDescent="0.25">
      <c r="B316" s="14"/>
      <c r="C316" s="14"/>
      <c r="D316" s="14"/>
      <c r="E316" s="14"/>
      <c r="F316" s="14"/>
      <c r="G316" s="14"/>
      <c r="H316" s="14"/>
      <c r="J316" s="14"/>
      <c r="K316" s="39"/>
      <c r="L316" s="14"/>
      <c r="M316" s="14"/>
      <c r="N316" s="38"/>
      <c r="O316" s="14"/>
    </row>
    <row r="317" spans="2:15" x14ac:dyDescent="0.25">
      <c r="B317" s="14"/>
      <c r="C317" s="14"/>
      <c r="D317" s="14"/>
      <c r="E317" s="14"/>
      <c r="F317" s="14"/>
      <c r="G317" s="14"/>
      <c r="H317" s="14"/>
      <c r="J317" s="14"/>
      <c r="K317" s="39"/>
      <c r="L317" s="14"/>
      <c r="M317" s="14"/>
      <c r="N317" s="38"/>
      <c r="O317" s="14"/>
    </row>
    <row r="318" spans="2:15" x14ac:dyDescent="0.25">
      <c r="B318" s="14"/>
      <c r="C318" s="14"/>
      <c r="D318" s="14"/>
      <c r="E318" s="14"/>
      <c r="F318" s="14"/>
      <c r="G318" s="14"/>
      <c r="H318" s="14"/>
      <c r="J318" s="14"/>
      <c r="K318" s="39"/>
      <c r="L318" s="14"/>
      <c r="M318" s="14"/>
      <c r="N318" s="38"/>
      <c r="O318" s="14"/>
    </row>
    <row r="319" spans="2:15" x14ac:dyDescent="0.25">
      <c r="B319" s="14"/>
      <c r="C319" s="14"/>
      <c r="D319" s="14"/>
      <c r="E319" s="14"/>
      <c r="F319" s="14"/>
      <c r="G319" s="14"/>
      <c r="H319" s="14"/>
      <c r="J319" s="14"/>
      <c r="K319" s="39"/>
      <c r="L319" s="14"/>
      <c r="M319" s="14"/>
      <c r="N319" s="38"/>
      <c r="O319" s="14"/>
    </row>
    <row r="320" spans="2:15" x14ac:dyDescent="0.25">
      <c r="B320" s="14"/>
      <c r="C320" s="14"/>
      <c r="D320" s="14"/>
      <c r="E320" s="14"/>
      <c r="F320" s="14"/>
      <c r="G320" s="14"/>
      <c r="H320" s="14"/>
      <c r="J320" s="14"/>
      <c r="K320" s="39"/>
      <c r="L320" s="14"/>
      <c r="M320" s="14"/>
      <c r="N320" s="38"/>
      <c r="O320" s="14"/>
    </row>
    <row r="321" spans="2:15" x14ac:dyDescent="0.25">
      <c r="B321" s="14"/>
      <c r="C321" s="14"/>
      <c r="D321" s="14"/>
      <c r="E321" s="14"/>
      <c r="F321" s="14"/>
      <c r="G321" s="14"/>
      <c r="H321" s="14"/>
      <c r="J321" s="14"/>
      <c r="K321" s="39"/>
      <c r="L321" s="14"/>
      <c r="M321" s="14"/>
      <c r="N321" s="38"/>
      <c r="O321" s="14"/>
    </row>
    <row r="322" spans="2:15" x14ac:dyDescent="0.25">
      <c r="B322" s="14"/>
      <c r="C322" s="14"/>
      <c r="D322" s="14"/>
      <c r="E322" s="14"/>
      <c r="F322" s="14"/>
      <c r="G322" s="14"/>
      <c r="H322" s="14"/>
      <c r="J322" s="14"/>
      <c r="K322" s="39"/>
      <c r="L322" s="14"/>
      <c r="M322" s="14"/>
      <c r="N322" s="38"/>
      <c r="O322" s="14"/>
    </row>
    <row r="323" spans="2:15" x14ac:dyDescent="0.25">
      <c r="B323" s="14"/>
      <c r="C323" s="14"/>
      <c r="D323" s="14"/>
      <c r="E323" s="14"/>
      <c r="F323" s="14"/>
      <c r="G323" s="14"/>
      <c r="H323" s="14"/>
      <c r="J323" s="14"/>
      <c r="K323" s="39"/>
      <c r="L323" s="14"/>
      <c r="M323" s="14"/>
      <c r="N323" s="38"/>
      <c r="O323" s="14"/>
    </row>
    <row r="324" spans="2:15" x14ac:dyDescent="0.25">
      <c r="B324" s="14"/>
      <c r="C324" s="14"/>
      <c r="D324" s="14"/>
      <c r="E324" s="14"/>
      <c r="F324" s="14"/>
      <c r="G324" s="14"/>
      <c r="H324" s="14"/>
      <c r="J324" s="14"/>
      <c r="K324" s="39"/>
      <c r="L324" s="14"/>
      <c r="M324" s="14"/>
      <c r="N324" s="38"/>
      <c r="O324" s="14"/>
    </row>
    <row r="325" spans="2:15" x14ac:dyDescent="0.25">
      <c r="B325" s="14"/>
      <c r="C325" s="14"/>
      <c r="D325" s="14"/>
      <c r="E325" s="14"/>
      <c r="F325" s="14"/>
      <c r="G325" s="14"/>
      <c r="H325" s="14"/>
      <c r="J325" s="14"/>
      <c r="K325" s="39"/>
      <c r="L325" s="14"/>
      <c r="M325" s="14"/>
      <c r="N325" s="38"/>
      <c r="O325" s="14"/>
    </row>
    <row r="326" spans="2:15" x14ac:dyDescent="0.25">
      <c r="B326" s="14"/>
      <c r="C326" s="14"/>
      <c r="D326" s="14"/>
      <c r="E326" s="14"/>
      <c r="F326" s="14"/>
      <c r="G326" s="14"/>
      <c r="H326" s="14"/>
      <c r="J326" s="14"/>
      <c r="K326" s="39"/>
      <c r="L326" s="14"/>
      <c r="M326" s="14"/>
      <c r="N326" s="38"/>
      <c r="O326" s="14"/>
    </row>
    <row r="327" spans="2:15" x14ac:dyDescent="0.25">
      <c r="B327" s="14"/>
      <c r="C327" s="14"/>
      <c r="D327" s="14"/>
      <c r="E327" s="14"/>
      <c r="F327" s="14"/>
      <c r="G327" s="14"/>
      <c r="H327" s="14"/>
      <c r="J327" s="14"/>
      <c r="K327" s="39"/>
      <c r="L327" s="14"/>
      <c r="M327" s="14"/>
      <c r="N327" s="38"/>
      <c r="O327" s="14"/>
    </row>
    <row r="328" spans="2:15" x14ac:dyDescent="0.25">
      <c r="B328" s="14"/>
      <c r="C328" s="14"/>
      <c r="D328" s="14"/>
      <c r="E328" s="14"/>
      <c r="F328" s="14"/>
      <c r="G328" s="14"/>
      <c r="H328" s="14"/>
      <c r="J328" s="14"/>
      <c r="K328" s="39"/>
      <c r="L328" s="14"/>
      <c r="M328" s="14"/>
      <c r="N328" s="38"/>
      <c r="O328" s="14"/>
    </row>
    <row r="329" spans="2:15" x14ac:dyDescent="0.25">
      <c r="B329" s="14"/>
      <c r="C329" s="14"/>
      <c r="D329" s="14"/>
      <c r="E329" s="14"/>
      <c r="F329" s="14"/>
      <c r="G329" s="14"/>
      <c r="H329" s="14"/>
      <c r="J329" s="14"/>
      <c r="K329" s="39"/>
      <c r="L329" s="14"/>
      <c r="M329" s="14"/>
      <c r="N329" s="38"/>
      <c r="O329" s="14"/>
    </row>
    <row r="330" spans="2:15" x14ac:dyDescent="0.25">
      <c r="B330" s="14"/>
      <c r="C330" s="14"/>
      <c r="D330" s="14"/>
      <c r="E330" s="14"/>
      <c r="F330" s="14"/>
      <c r="G330" s="14"/>
      <c r="H330" s="14"/>
      <c r="J330" s="14"/>
      <c r="K330" s="39"/>
      <c r="L330" s="14"/>
      <c r="M330" s="14"/>
      <c r="N330" s="38"/>
      <c r="O330" s="14"/>
    </row>
    <row r="331" spans="2:15" x14ac:dyDescent="0.25">
      <c r="B331" s="14"/>
      <c r="C331" s="14"/>
      <c r="D331" s="14"/>
      <c r="E331" s="14"/>
      <c r="F331" s="14"/>
      <c r="G331" s="14"/>
      <c r="H331" s="14"/>
      <c r="J331" s="14"/>
      <c r="K331" s="39"/>
      <c r="L331" s="14"/>
      <c r="M331" s="14"/>
      <c r="N331" s="38"/>
      <c r="O331" s="14"/>
    </row>
    <row r="332" spans="2:15" x14ac:dyDescent="0.25">
      <c r="B332" s="14"/>
      <c r="C332" s="14"/>
      <c r="D332" s="14"/>
      <c r="E332" s="14"/>
      <c r="F332" s="14"/>
      <c r="G332" s="14"/>
      <c r="H332" s="14"/>
      <c r="J332" s="14"/>
      <c r="K332" s="39"/>
      <c r="L332" s="14"/>
      <c r="M332" s="14"/>
      <c r="N332" s="38"/>
      <c r="O332" s="14"/>
    </row>
    <row r="333" spans="2:15" x14ac:dyDescent="0.25">
      <c r="B333" s="14"/>
      <c r="C333" s="14"/>
      <c r="D333" s="14"/>
      <c r="E333" s="14"/>
      <c r="F333" s="14"/>
      <c r="G333" s="14"/>
      <c r="H333" s="14"/>
      <c r="J333" s="14"/>
      <c r="K333" s="39"/>
      <c r="L333" s="14"/>
      <c r="M333" s="14"/>
      <c r="N333" s="38"/>
      <c r="O333" s="14"/>
    </row>
    <row r="334" spans="2:15" x14ac:dyDescent="0.25">
      <c r="B334" s="14"/>
      <c r="C334" s="14"/>
      <c r="D334" s="14"/>
      <c r="E334" s="14"/>
      <c r="F334" s="14"/>
      <c r="G334" s="14"/>
      <c r="H334" s="14"/>
      <c r="J334" s="14"/>
      <c r="K334" s="39"/>
      <c r="L334" s="14"/>
      <c r="M334" s="14"/>
      <c r="N334" s="38"/>
      <c r="O334" s="14"/>
    </row>
    <row r="335" spans="2:15" x14ac:dyDescent="0.25">
      <c r="B335" s="14"/>
      <c r="C335" s="14"/>
      <c r="D335" s="14"/>
      <c r="E335" s="14"/>
      <c r="F335" s="14"/>
      <c r="G335" s="14"/>
      <c r="H335" s="14"/>
      <c r="J335" s="14"/>
      <c r="K335" s="39"/>
      <c r="L335" s="14"/>
      <c r="M335" s="14"/>
      <c r="N335" s="38"/>
      <c r="O335" s="14"/>
    </row>
    <row r="336" spans="2:15" x14ac:dyDescent="0.25">
      <c r="B336" s="14"/>
      <c r="C336" s="14"/>
      <c r="D336" s="14"/>
      <c r="E336" s="14"/>
      <c r="F336" s="14"/>
      <c r="G336" s="14"/>
      <c r="H336" s="14"/>
      <c r="J336" s="14"/>
      <c r="K336" s="39"/>
      <c r="L336" s="14"/>
      <c r="M336" s="14"/>
      <c r="N336" s="38"/>
      <c r="O336" s="14"/>
    </row>
    <row r="337" spans="2:15" x14ac:dyDescent="0.25">
      <c r="B337" s="14"/>
      <c r="C337" s="14"/>
      <c r="D337" s="14"/>
      <c r="E337" s="14"/>
      <c r="F337" s="14"/>
      <c r="G337" s="14"/>
      <c r="H337" s="14"/>
      <c r="J337" s="14"/>
      <c r="K337" s="39"/>
      <c r="L337" s="14"/>
      <c r="M337" s="14"/>
      <c r="N337" s="38"/>
      <c r="O337" s="14"/>
    </row>
    <row r="338" spans="2:15" x14ac:dyDescent="0.25">
      <c r="B338" s="14"/>
      <c r="C338" s="14"/>
      <c r="D338" s="14"/>
      <c r="E338" s="14"/>
      <c r="F338" s="14"/>
      <c r="G338" s="14"/>
      <c r="H338" s="14"/>
      <c r="J338" s="14"/>
      <c r="K338" s="39"/>
      <c r="L338" s="14"/>
      <c r="M338" s="14"/>
      <c r="N338" s="38"/>
      <c r="O338" s="14"/>
    </row>
    <row r="339" spans="2:15" x14ac:dyDescent="0.25">
      <c r="B339" s="14"/>
      <c r="C339" s="14"/>
      <c r="D339" s="14"/>
      <c r="E339" s="14"/>
      <c r="F339" s="14"/>
      <c r="G339" s="14"/>
      <c r="H339" s="14"/>
      <c r="J339" s="14"/>
      <c r="K339" s="39"/>
      <c r="L339" s="14"/>
      <c r="M339" s="14"/>
      <c r="N339" s="38"/>
      <c r="O339" s="14"/>
    </row>
    <row r="340" spans="2:15" x14ac:dyDescent="0.25">
      <c r="B340" s="14"/>
      <c r="C340" s="14"/>
      <c r="D340" s="14"/>
      <c r="E340" s="14"/>
      <c r="F340" s="14"/>
      <c r="G340" s="14"/>
      <c r="H340" s="14"/>
      <c r="J340" s="14"/>
      <c r="K340" s="39"/>
      <c r="L340" s="14"/>
      <c r="M340" s="14"/>
      <c r="N340" s="38"/>
      <c r="O340" s="14"/>
    </row>
    <row r="341" spans="2:15" x14ac:dyDescent="0.25">
      <c r="B341" s="14"/>
      <c r="C341" s="14"/>
      <c r="D341" s="14"/>
      <c r="E341" s="14"/>
      <c r="F341" s="14"/>
      <c r="G341" s="14"/>
      <c r="H341" s="14"/>
      <c r="J341" s="14"/>
      <c r="K341" s="39"/>
      <c r="L341" s="14"/>
      <c r="M341" s="14"/>
      <c r="N341" s="38"/>
      <c r="O341" s="14"/>
    </row>
    <row r="342" spans="2:15" x14ac:dyDescent="0.25">
      <c r="B342" s="14"/>
      <c r="C342" s="14"/>
      <c r="D342" s="14"/>
      <c r="E342" s="14"/>
      <c r="F342" s="14"/>
      <c r="G342" s="14"/>
      <c r="H342" s="14"/>
      <c r="J342" s="14"/>
      <c r="K342" s="39"/>
      <c r="L342" s="14"/>
      <c r="M342" s="14"/>
      <c r="N342" s="38"/>
      <c r="O342" s="14"/>
    </row>
    <row r="343" spans="2:15" x14ac:dyDescent="0.25">
      <c r="B343" s="14"/>
      <c r="C343" s="14"/>
      <c r="D343" s="14"/>
      <c r="E343" s="14"/>
      <c r="F343" s="14"/>
      <c r="G343" s="14"/>
      <c r="H343" s="14"/>
      <c r="J343" s="14"/>
      <c r="K343" s="39"/>
      <c r="L343" s="14"/>
      <c r="M343" s="14"/>
      <c r="N343" s="38"/>
      <c r="O343" s="14"/>
    </row>
    <row r="344" spans="2:15" x14ac:dyDescent="0.25">
      <c r="B344" s="14"/>
      <c r="C344" s="14"/>
      <c r="D344" s="14"/>
      <c r="E344" s="14"/>
      <c r="F344" s="14"/>
      <c r="G344" s="14"/>
      <c r="H344" s="14"/>
      <c r="J344" s="14"/>
      <c r="K344" s="39"/>
      <c r="L344" s="14"/>
      <c r="M344" s="14"/>
      <c r="N344" s="38"/>
      <c r="O344" s="14"/>
    </row>
    <row r="345" spans="2:15" x14ac:dyDescent="0.25">
      <c r="B345" s="14"/>
      <c r="C345" s="14"/>
      <c r="D345" s="14"/>
      <c r="E345" s="14"/>
      <c r="F345" s="14"/>
      <c r="G345" s="14"/>
      <c r="H345" s="14"/>
      <c r="J345" s="14"/>
      <c r="K345" s="39"/>
      <c r="L345" s="14"/>
      <c r="M345" s="14"/>
      <c r="N345" s="38"/>
      <c r="O345" s="14"/>
    </row>
    <row r="346" spans="2:15" x14ac:dyDescent="0.25">
      <c r="B346" s="14"/>
      <c r="C346" s="14"/>
      <c r="D346" s="14"/>
      <c r="E346" s="14"/>
      <c r="F346" s="14"/>
      <c r="G346" s="14"/>
      <c r="H346" s="14"/>
      <c r="J346" s="14"/>
      <c r="K346" s="39"/>
      <c r="L346" s="14"/>
      <c r="M346" s="14"/>
      <c r="N346" s="38"/>
      <c r="O346" s="14"/>
    </row>
    <row r="347" spans="2:15" x14ac:dyDescent="0.25">
      <c r="B347" s="14"/>
      <c r="C347" s="14"/>
      <c r="D347" s="14"/>
      <c r="E347" s="14"/>
      <c r="F347" s="14"/>
      <c r="G347" s="14"/>
      <c r="H347" s="14"/>
      <c r="J347" s="14"/>
      <c r="K347" s="39"/>
      <c r="L347" s="14"/>
      <c r="M347" s="14"/>
      <c r="N347" s="38"/>
      <c r="O347" s="14"/>
    </row>
    <row r="348" spans="2:15" x14ac:dyDescent="0.25">
      <c r="B348" s="14"/>
      <c r="C348" s="14"/>
      <c r="D348" s="14"/>
      <c r="E348" s="14"/>
      <c r="F348" s="14"/>
      <c r="G348" s="14"/>
      <c r="H348" s="14"/>
      <c r="J348" s="14"/>
      <c r="K348" s="39"/>
      <c r="L348" s="14"/>
      <c r="M348" s="14"/>
      <c r="N348" s="38"/>
      <c r="O348" s="14"/>
    </row>
    <row r="349" spans="2:15" x14ac:dyDescent="0.25">
      <c r="B349" s="14"/>
      <c r="C349" s="14"/>
      <c r="D349" s="14"/>
      <c r="E349" s="14"/>
      <c r="F349" s="14"/>
      <c r="G349" s="14"/>
      <c r="H349" s="14"/>
      <c r="J349" s="14"/>
      <c r="K349" s="39"/>
      <c r="L349" s="14"/>
      <c r="M349" s="14"/>
      <c r="N349" s="38"/>
      <c r="O349" s="14"/>
    </row>
    <row r="350" spans="2:15" x14ac:dyDescent="0.25">
      <c r="B350" s="14"/>
      <c r="C350" s="14"/>
      <c r="D350" s="14"/>
      <c r="E350" s="14"/>
      <c r="F350" s="14"/>
      <c r="G350" s="14"/>
      <c r="H350" s="14"/>
      <c r="J350" s="14"/>
      <c r="K350" s="39"/>
      <c r="L350" s="14"/>
      <c r="M350" s="14"/>
      <c r="N350" s="38"/>
      <c r="O350" s="14"/>
    </row>
    <row r="351" spans="2:15" x14ac:dyDescent="0.25">
      <c r="B351" s="14"/>
      <c r="C351" s="14"/>
      <c r="D351" s="14"/>
      <c r="E351" s="14"/>
      <c r="F351" s="14"/>
      <c r="G351" s="14"/>
      <c r="H351" s="14"/>
      <c r="J351" s="14"/>
      <c r="K351" s="39"/>
      <c r="L351" s="14"/>
      <c r="M351" s="14"/>
      <c r="N351" s="38"/>
      <c r="O351" s="14"/>
    </row>
    <row r="352" spans="2:15" x14ac:dyDescent="0.25">
      <c r="B352" s="14"/>
      <c r="C352" s="14"/>
      <c r="D352" s="14"/>
      <c r="E352" s="14"/>
      <c r="F352" s="14"/>
      <c r="G352" s="14"/>
      <c r="H352" s="14"/>
      <c r="J352" s="14"/>
      <c r="K352" s="39"/>
      <c r="L352" s="14"/>
      <c r="M352" s="14"/>
      <c r="N352" s="38"/>
      <c r="O352" s="14"/>
    </row>
    <row r="353" spans="2:15" x14ac:dyDescent="0.25">
      <c r="B353" s="14"/>
      <c r="C353" s="14"/>
      <c r="D353" s="14"/>
      <c r="E353" s="14"/>
      <c r="F353" s="14"/>
      <c r="G353" s="14"/>
      <c r="H353" s="14"/>
      <c r="J353" s="14"/>
      <c r="K353" s="39"/>
      <c r="L353" s="14"/>
      <c r="M353" s="14"/>
      <c r="N353" s="38"/>
      <c r="O353" s="14"/>
    </row>
    <row r="354" spans="2:15" x14ac:dyDescent="0.25">
      <c r="B354" s="14"/>
      <c r="C354" s="14"/>
      <c r="D354" s="14"/>
      <c r="E354" s="14"/>
      <c r="F354" s="14"/>
      <c r="G354" s="14"/>
      <c r="H354" s="14"/>
      <c r="J354" s="14"/>
      <c r="K354" s="39"/>
      <c r="L354" s="14"/>
      <c r="M354" s="14"/>
      <c r="N354" s="38"/>
      <c r="O354" s="14"/>
    </row>
    <row r="355" spans="2:15" x14ac:dyDescent="0.25">
      <c r="B355" s="14"/>
      <c r="C355" s="14"/>
      <c r="D355" s="14"/>
      <c r="E355" s="14"/>
      <c r="F355" s="14"/>
      <c r="G355" s="14"/>
      <c r="H355" s="14"/>
      <c r="J355" s="14"/>
      <c r="K355" s="39"/>
      <c r="L355" s="14"/>
      <c r="M355" s="14"/>
      <c r="N355" s="38"/>
      <c r="O355" s="14"/>
    </row>
    <row r="356" spans="2:15" x14ac:dyDescent="0.25">
      <c r="B356" s="14"/>
      <c r="C356" s="14"/>
      <c r="D356" s="14"/>
      <c r="E356" s="14"/>
      <c r="F356" s="14"/>
      <c r="G356" s="14"/>
      <c r="H356" s="14"/>
      <c r="J356" s="14"/>
      <c r="K356" s="39"/>
      <c r="L356" s="14"/>
      <c r="M356" s="14"/>
      <c r="N356" s="38"/>
      <c r="O356" s="14"/>
    </row>
    <row r="357" spans="2:15" x14ac:dyDescent="0.25">
      <c r="B357" s="14"/>
      <c r="C357" s="14"/>
      <c r="D357" s="14"/>
      <c r="E357" s="14"/>
      <c r="F357" s="14"/>
      <c r="G357" s="14"/>
      <c r="H357" s="14"/>
      <c r="J357" s="14"/>
      <c r="K357" s="39"/>
      <c r="L357" s="14"/>
      <c r="M357" s="14"/>
      <c r="N357" s="38"/>
      <c r="O357" s="14"/>
    </row>
    <row r="358" spans="2:15" x14ac:dyDescent="0.25">
      <c r="B358" s="14"/>
      <c r="C358" s="14"/>
      <c r="D358" s="14"/>
      <c r="E358" s="14"/>
      <c r="F358" s="14"/>
      <c r="G358" s="14"/>
      <c r="H358" s="14"/>
      <c r="J358" s="14"/>
      <c r="K358" s="39"/>
      <c r="L358" s="14"/>
      <c r="M358" s="14"/>
      <c r="N358" s="38"/>
      <c r="O358" s="14"/>
    </row>
    <row r="359" spans="2:15" x14ac:dyDescent="0.25">
      <c r="B359" s="14"/>
      <c r="C359" s="14"/>
      <c r="D359" s="14"/>
      <c r="E359" s="14"/>
      <c r="F359" s="14"/>
      <c r="G359" s="14"/>
      <c r="H359" s="14"/>
      <c r="J359" s="14"/>
      <c r="K359" s="39"/>
      <c r="L359" s="14"/>
      <c r="M359" s="14"/>
      <c r="N359" s="38"/>
      <c r="O359" s="14"/>
    </row>
    <row r="360" spans="2:15" x14ac:dyDescent="0.25">
      <c r="B360" s="14"/>
      <c r="C360" s="14"/>
      <c r="D360" s="14"/>
      <c r="E360" s="14"/>
      <c r="F360" s="14"/>
      <c r="G360" s="14"/>
      <c r="H360" s="14"/>
      <c r="J360" s="14"/>
      <c r="K360" s="39"/>
      <c r="L360" s="14"/>
      <c r="M360" s="14"/>
      <c r="N360" s="38"/>
      <c r="O360" s="14"/>
    </row>
    <row r="361" spans="2:15" x14ac:dyDescent="0.25">
      <c r="B361" s="14"/>
      <c r="C361" s="14"/>
      <c r="D361" s="14"/>
      <c r="E361" s="14"/>
      <c r="F361" s="14"/>
      <c r="G361" s="14"/>
      <c r="H361" s="14"/>
      <c r="J361" s="14"/>
      <c r="K361" s="39"/>
      <c r="L361" s="14"/>
      <c r="M361" s="14"/>
      <c r="N361" s="38"/>
      <c r="O361" s="14"/>
    </row>
    <row r="362" spans="2:15" x14ac:dyDescent="0.25">
      <c r="B362" s="14"/>
      <c r="C362" s="14"/>
      <c r="D362" s="14"/>
      <c r="E362" s="14"/>
      <c r="F362" s="14"/>
      <c r="G362" s="14"/>
      <c r="H362" s="14"/>
      <c r="J362" s="14"/>
      <c r="K362" s="39"/>
      <c r="L362" s="14"/>
      <c r="M362" s="14"/>
      <c r="N362" s="38"/>
      <c r="O362" s="14"/>
    </row>
    <row r="363" spans="2:15" x14ac:dyDescent="0.25">
      <c r="B363" s="14"/>
      <c r="C363" s="14"/>
      <c r="D363" s="14"/>
      <c r="E363" s="14"/>
      <c r="F363" s="14"/>
      <c r="G363" s="14"/>
      <c r="H363" s="14"/>
      <c r="J363" s="14"/>
      <c r="K363" s="39"/>
      <c r="L363" s="14"/>
      <c r="M363" s="14"/>
      <c r="N363" s="38"/>
      <c r="O363" s="14"/>
    </row>
    <row r="364" spans="2:15" x14ac:dyDescent="0.25">
      <c r="B364" s="14"/>
      <c r="C364" s="14"/>
      <c r="D364" s="14"/>
      <c r="E364" s="14"/>
      <c r="F364" s="14"/>
      <c r="G364" s="14"/>
      <c r="H364" s="14"/>
      <c r="J364" s="14"/>
      <c r="K364" s="39"/>
      <c r="L364" s="14"/>
      <c r="M364" s="14"/>
      <c r="N364" s="38"/>
      <c r="O364" s="14"/>
    </row>
    <row r="365" spans="2:15" x14ac:dyDescent="0.25">
      <c r="B365" s="14"/>
      <c r="C365" s="14"/>
      <c r="D365" s="14"/>
      <c r="E365" s="14"/>
      <c r="F365" s="14"/>
      <c r="G365" s="14"/>
      <c r="H365" s="14"/>
      <c r="J365" s="14"/>
      <c r="K365" s="39"/>
      <c r="L365" s="14"/>
      <c r="M365" s="14"/>
      <c r="N365" s="38"/>
      <c r="O365" s="14"/>
    </row>
    <row r="366" spans="2:15" x14ac:dyDescent="0.25">
      <c r="B366" s="14"/>
      <c r="C366" s="14"/>
      <c r="D366" s="14"/>
      <c r="E366" s="14"/>
      <c r="F366" s="14"/>
      <c r="G366" s="14"/>
      <c r="H366" s="14"/>
      <c r="J366" s="14"/>
      <c r="K366" s="39"/>
      <c r="L366" s="14"/>
      <c r="M366" s="14"/>
      <c r="N366" s="38"/>
      <c r="O366" s="14"/>
    </row>
    <row r="367" spans="2:15" x14ac:dyDescent="0.25">
      <c r="B367" s="14"/>
      <c r="C367" s="14"/>
      <c r="D367" s="14"/>
      <c r="E367" s="14"/>
      <c r="F367" s="14"/>
      <c r="G367" s="14"/>
      <c r="H367" s="14"/>
      <c r="J367" s="14"/>
      <c r="K367" s="39"/>
      <c r="L367" s="14"/>
      <c r="M367" s="14"/>
      <c r="N367" s="38"/>
      <c r="O367" s="14"/>
    </row>
    <row r="368" spans="2:15" x14ac:dyDescent="0.25">
      <c r="B368" s="14"/>
      <c r="C368" s="14"/>
      <c r="D368" s="14"/>
      <c r="E368" s="14"/>
      <c r="F368" s="14"/>
      <c r="G368" s="14"/>
      <c r="H368" s="14"/>
      <c r="J368" s="14"/>
      <c r="K368" s="39"/>
      <c r="L368" s="14"/>
      <c r="M368" s="14"/>
      <c r="N368" s="38"/>
      <c r="O368" s="14"/>
    </row>
    <row r="369" spans="2:15" x14ac:dyDescent="0.25">
      <c r="B369" s="14"/>
      <c r="C369" s="14"/>
      <c r="D369" s="14"/>
      <c r="E369" s="14"/>
      <c r="F369" s="14"/>
      <c r="G369" s="14"/>
      <c r="H369" s="14"/>
      <c r="J369" s="14"/>
      <c r="K369" s="39"/>
      <c r="L369" s="14"/>
      <c r="M369" s="14"/>
      <c r="N369" s="38"/>
      <c r="O369" s="14"/>
    </row>
    <row r="370" spans="2:15" x14ac:dyDescent="0.25">
      <c r="B370" s="14"/>
      <c r="C370" s="14"/>
      <c r="D370" s="14"/>
      <c r="E370" s="14"/>
      <c r="F370" s="14"/>
      <c r="G370" s="14"/>
      <c r="H370" s="14"/>
      <c r="J370" s="14"/>
      <c r="K370" s="39"/>
      <c r="L370" s="14"/>
      <c r="M370" s="14"/>
      <c r="N370" s="38"/>
      <c r="O370" s="14"/>
    </row>
    <row r="371" spans="2:15" x14ac:dyDescent="0.25">
      <c r="B371" s="14"/>
      <c r="C371" s="14"/>
      <c r="D371" s="14"/>
      <c r="E371" s="14"/>
      <c r="F371" s="14"/>
      <c r="G371" s="14"/>
      <c r="H371" s="14"/>
      <c r="J371" s="14"/>
      <c r="K371" s="39"/>
      <c r="L371" s="14"/>
      <c r="M371" s="14"/>
      <c r="N371" s="38"/>
      <c r="O371" s="14"/>
    </row>
    <row r="372" spans="2:15" x14ac:dyDescent="0.25">
      <c r="B372" s="14"/>
      <c r="C372" s="14"/>
      <c r="D372" s="14"/>
      <c r="E372" s="14"/>
      <c r="F372" s="14"/>
      <c r="G372" s="14"/>
      <c r="H372" s="14"/>
      <c r="J372" s="14"/>
      <c r="K372" s="39"/>
      <c r="L372" s="14"/>
      <c r="M372" s="14"/>
      <c r="N372" s="38"/>
      <c r="O372" s="14"/>
    </row>
    <row r="373" spans="2:15" x14ac:dyDescent="0.25">
      <c r="B373" s="14"/>
      <c r="C373" s="14"/>
      <c r="D373" s="14"/>
      <c r="E373" s="14"/>
      <c r="F373" s="14"/>
      <c r="G373" s="14"/>
      <c r="H373" s="14"/>
      <c r="J373" s="14"/>
      <c r="K373" s="39"/>
      <c r="L373" s="14"/>
      <c r="M373" s="14"/>
      <c r="N373" s="38"/>
      <c r="O373" s="14"/>
    </row>
    <row r="374" spans="2:15" x14ac:dyDescent="0.25">
      <c r="B374" s="14"/>
      <c r="C374" s="14"/>
      <c r="D374" s="14"/>
      <c r="E374" s="14"/>
      <c r="F374" s="14"/>
      <c r="G374" s="14"/>
      <c r="H374" s="14"/>
      <c r="J374" s="14"/>
      <c r="K374" s="39"/>
      <c r="L374" s="14"/>
      <c r="M374" s="14"/>
      <c r="N374" s="38"/>
      <c r="O374" s="14"/>
    </row>
    <row r="375" spans="2:15" x14ac:dyDescent="0.25">
      <c r="B375" s="14"/>
      <c r="C375" s="14"/>
      <c r="D375" s="14"/>
      <c r="E375" s="14"/>
      <c r="F375" s="14"/>
      <c r="G375" s="14"/>
      <c r="H375" s="14"/>
      <c r="J375" s="14"/>
      <c r="K375" s="39"/>
      <c r="L375" s="14"/>
      <c r="M375" s="14"/>
      <c r="N375" s="38"/>
      <c r="O375" s="14"/>
    </row>
  </sheetData>
  <mergeCells count="211">
    <mergeCell ref="F182:F187"/>
    <mergeCell ref="F176:F181"/>
    <mergeCell ref="E176:E181"/>
    <mergeCell ref="D176:D181"/>
    <mergeCell ref="B176:B181"/>
    <mergeCell ref="B170:B175"/>
    <mergeCell ref="D170:D175"/>
    <mergeCell ref="E170:E175"/>
    <mergeCell ref="F170:F175"/>
    <mergeCell ref="F164:F169"/>
    <mergeCell ref="E164:E169"/>
    <mergeCell ref="D164:D169"/>
    <mergeCell ref="B146:B151"/>
    <mergeCell ref="C146:C151"/>
    <mergeCell ref="C152:C157"/>
    <mergeCell ref="C158:C163"/>
    <mergeCell ref="B140:B145"/>
    <mergeCell ref="B152:B157"/>
    <mergeCell ref="D152:D157"/>
    <mergeCell ref="E152:E157"/>
    <mergeCell ref="C182:C187"/>
    <mergeCell ref="D140:D145"/>
    <mergeCell ref="E140:E145"/>
    <mergeCell ref="F140:F145"/>
    <mergeCell ref="F146:F151"/>
    <mergeCell ref="E146:E151"/>
    <mergeCell ref="D146:D151"/>
    <mergeCell ref="F152:F157"/>
    <mergeCell ref="F158:F163"/>
    <mergeCell ref="E158:E163"/>
    <mergeCell ref="D158:D163"/>
    <mergeCell ref="C164:C169"/>
    <mergeCell ref="C170:C175"/>
    <mergeCell ref="C176:C181"/>
    <mergeCell ref="B164:B169"/>
    <mergeCell ref="B158:B163"/>
    <mergeCell ref="B182:B187"/>
    <mergeCell ref="D182:D187"/>
    <mergeCell ref="E182:E187"/>
    <mergeCell ref="C140:C145"/>
    <mergeCell ref="I138:I139"/>
    <mergeCell ref="B137:B139"/>
    <mergeCell ref="C137:C139"/>
    <mergeCell ref="D137:D139"/>
    <mergeCell ref="E137:E139"/>
    <mergeCell ref="G137:G139"/>
    <mergeCell ref="F137:F139"/>
    <mergeCell ref="H137:H139"/>
    <mergeCell ref="H182:H187"/>
    <mergeCell ref="G146:G151"/>
    <mergeCell ref="G152:G157"/>
    <mergeCell ref="G158:G163"/>
    <mergeCell ref="G164:G169"/>
    <mergeCell ref="G170:G175"/>
    <mergeCell ref="G176:G181"/>
    <mergeCell ref="G182:G187"/>
    <mergeCell ref="G140:G145"/>
    <mergeCell ref="H140:H145"/>
    <mergeCell ref="H146:H151"/>
    <mergeCell ref="H152:H157"/>
    <mergeCell ref="H158:H163"/>
    <mergeCell ref="H164:H169"/>
    <mergeCell ref="H170:H175"/>
    <mergeCell ref="H176:H181"/>
    <mergeCell ref="G131:G133"/>
    <mergeCell ref="H131:H133"/>
    <mergeCell ref="I132:I133"/>
    <mergeCell ref="B134:B136"/>
    <mergeCell ref="C134:C136"/>
    <mergeCell ref="D134:D136"/>
    <mergeCell ref="E134:E136"/>
    <mergeCell ref="G134:G136"/>
    <mergeCell ref="H134:H136"/>
    <mergeCell ref="I135:I136"/>
    <mergeCell ref="F131:F133"/>
    <mergeCell ref="F134:F136"/>
    <mergeCell ref="G2:G23"/>
    <mergeCell ref="D2:D23"/>
    <mergeCell ref="E2:E23"/>
    <mergeCell ref="C2:C23"/>
    <mergeCell ref="E46:E67"/>
    <mergeCell ref="G46:G67"/>
    <mergeCell ref="H46:H67"/>
    <mergeCell ref="B128:B130"/>
    <mergeCell ref="B131:B133"/>
    <mergeCell ref="C131:C133"/>
    <mergeCell ref="D131:D133"/>
    <mergeCell ref="E131:E133"/>
    <mergeCell ref="B107:B110"/>
    <mergeCell ref="B111:B114"/>
    <mergeCell ref="B115:B118"/>
    <mergeCell ref="B119:B122"/>
    <mergeCell ref="B123:B126"/>
    <mergeCell ref="E119:E122"/>
    <mergeCell ref="D119:D122"/>
    <mergeCell ref="D123:D126"/>
    <mergeCell ref="E123:E126"/>
    <mergeCell ref="D128:D130"/>
    <mergeCell ref="E128:E130"/>
    <mergeCell ref="F103:F106"/>
    <mergeCell ref="C128:C130"/>
    <mergeCell ref="G128:G130"/>
    <mergeCell ref="H128:H130"/>
    <mergeCell ref="I129:I130"/>
    <mergeCell ref="D95:D98"/>
    <mergeCell ref="E95:E98"/>
    <mergeCell ref="D99:D102"/>
    <mergeCell ref="E99:E102"/>
    <mergeCell ref="E103:E106"/>
    <mergeCell ref="D103:D106"/>
    <mergeCell ref="D107:D110"/>
    <mergeCell ref="E107:E110"/>
    <mergeCell ref="E111:E114"/>
    <mergeCell ref="D111:D114"/>
    <mergeCell ref="D115:D118"/>
    <mergeCell ref="F107:F110"/>
    <mergeCell ref="F111:F114"/>
    <mergeCell ref="F115:F118"/>
    <mergeCell ref="F119:F122"/>
    <mergeCell ref="F123:F126"/>
    <mergeCell ref="F128:F130"/>
    <mergeCell ref="H119:H122"/>
    <mergeCell ref="H123:H126"/>
    <mergeCell ref="B24:B45"/>
    <mergeCell ref="C24:C45"/>
    <mergeCell ref="D24:D45"/>
    <mergeCell ref="E24:E45"/>
    <mergeCell ref="G24:G45"/>
    <mergeCell ref="H24:H45"/>
    <mergeCell ref="B90:B94"/>
    <mergeCell ref="F2:F23"/>
    <mergeCell ref="F24:F45"/>
    <mergeCell ref="F46:F67"/>
    <mergeCell ref="F68:F89"/>
    <mergeCell ref="C90:C94"/>
    <mergeCell ref="E90:E94"/>
    <mergeCell ref="D90:D94"/>
    <mergeCell ref="F90:F94"/>
    <mergeCell ref="B68:B89"/>
    <mergeCell ref="C68:C89"/>
    <mergeCell ref="D68:D89"/>
    <mergeCell ref="E68:E89"/>
    <mergeCell ref="B46:B67"/>
    <mergeCell ref="C46:C67"/>
    <mergeCell ref="D46:D67"/>
    <mergeCell ref="B2:B23"/>
    <mergeCell ref="H2:H23"/>
    <mergeCell ref="I2:I8"/>
    <mergeCell ref="I24:I30"/>
    <mergeCell ref="I9:I12"/>
    <mergeCell ref="I13:I19"/>
    <mergeCell ref="I20:I23"/>
    <mergeCell ref="C107:C110"/>
    <mergeCell ref="H107:H110"/>
    <mergeCell ref="C111:C114"/>
    <mergeCell ref="C115:C118"/>
    <mergeCell ref="H111:H114"/>
    <mergeCell ref="H115:H118"/>
    <mergeCell ref="E115:E118"/>
    <mergeCell ref="H103:H106"/>
    <mergeCell ref="I31:I34"/>
    <mergeCell ref="I35:I41"/>
    <mergeCell ref="I42:I45"/>
    <mergeCell ref="I53:I56"/>
    <mergeCell ref="I57:I63"/>
    <mergeCell ref="I64:I67"/>
    <mergeCell ref="I68:I74"/>
    <mergeCell ref="I46:I52"/>
    <mergeCell ref="H90:H94"/>
    <mergeCell ref="I90:I94"/>
    <mergeCell ref="H68:H89"/>
    <mergeCell ref="I75:I78"/>
    <mergeCell ref="I79:I85"/>
    <mergeCell ref="I86:I89"/>
    <mergeCell ref="C95:C98"/>
    <mergeCell ref="C99:C102"/>
    <mergeCell ref="H95:H98"/>
    <mergeCell ref="H99:H102"/>
    <mergeCell ref="G90:G94"/>
    <mergeCell ref="G68:G89"/>
    <mergeCell ref="F95:F98"/>
    <mergeCell ref="F99:F102"/>
    <mergeCell ref="B95:B98"/>
    <mergeCell ref="B99:B102"/>
    <mergeCell ref="B103:B106"/>
    <mergeCell ref="C119:C122"/>
    <mergeCell ref="C123:C126"/>
    <mergeCell ref="G95:G98"/>
    <mergeCell ref="G99:G102"/>
    <mergeCell ref="G103:G106"/>
    <mergeCell ref="G107:G110"/>
    <mergeCell ref="G111:G114"/>
    <mergeCell ref="G115:G118"/>
    <mergeCell ref="G119:G122"/>
    <mergeCell ref="G123:G126"/>
    <mergeCell ref="C103:C106"/>
    <mergeCell ref="B188:B189"/>
    <mergeCell ref="B190:B191"/>
    <mergeCell ref="I188:I189"/>
    <mergeCell ref="C188:C189"/>
    <mergeCell ref="D188:D189"/>
    <mergeCell ref="E188:E189"/>
    <mergeCell ref="F188:F189"/>
    <mergeCell ref="D190:D191"/>
    <mergeCell ref="E190:E191"/>
    <mergeCell ref="F190:F191"/>
    <mergeCell ref="G190:G191"/>
    <mergeCell ref="H190:H191"/>
    <mergeCell ref="H188:H189"/>
    <mergeCell ref="G188:G189"/>
    <mergeCell ref="C190:C191"/>
  </mergeCells>
  <phoneticPr fontId="4" type="noConversion"/>
  <pageMargins left="0.7" right="0.7" top="0.75" bottom="0.75" header="0.3" footer="0.3"/>
  <ignoredErrors>
    <ignoredError sqref="I127:I1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E4AE-A7F7-4009-A8E4-9110B9D447F2}">
  <dimension ref="A1:AB330"/>
  <sheetViews>
    <sheetView tabSelected="1" topLeftCell="B1" zoomScale="87" zoomScaleNormal="85" workbookViewId="0">
      <pane ySplit="1" topLeftCell="A218" activePane="bottomLeft" state="frozen"/>
      <selection pane="bottomLeft" activeCell="G305" sqref="G305:G312"/>
    </sheetView>
  </sheetViews>
  <sheetFormatPr defaultRowHeight="13.2" x14ac:dyDescent="0.25"/>
  <cols>
    <col min="1" max="1" width="6.109375" style="14" customWidth="1"/>
    <col min="2" max="2" width="34.44140625" style="14" customWidth="1"/>
    <col min="3" max="3" width="7.44140625" style="14" customWidth="1"/>
    <col min="4" max="4" width="7.44140625" style="81" customWidth="1"/>
    <col min="5" max="5" width="7.44140625" style="73" customWidth="1"/>
    <col min="6" max="6" width="6.21875" style="80" customWidth="1"/>
    <col min="7" max="7" width="7.6640625" style="81" customWidth="1"/>
    <col min="8" max="8" width="7" style="72" customWidth="1"/>
    <col min="9" max="9" width="42" style="14" customWidth="1"/>
    <col min="10" max="10" width="7.109375" style="86" customWidth="1"/>
    <col min="11" max="11" width="10.77734375" style="14" customWidth="1"/>
    <col min="12" max="12" width="7.44140625" style="14" customWidth="1"/>
    <col min="13" max="13" width="8.33203125" style="14" customWidth="1"/>
    <col min="14" max="14" width="52.21875" style="14" customWidth="1"/>
  </cols>
  <sheetData>
    <row r="1" spans="1:14" ht="26.4" x14ac:dyDescent="0.25">
      <c r="A1" s="56" t="s">
        <v>100</v>
      </c>
      <c r="B1" s="57" t="s">
        <v>0</v>
      </c>
      <c r="C1" s="58" t="s">
        <v>144</v>
      </c>
      <c r="D1" s="58" t="s">
        <v>145</v>
      </c>
      <c r="E1" s="58" t="s">
        <v>2</v>
      </c>
      <c r="F1" s="58" t="s">
        <v>13</v>
      </c>
      <c r="G1" s="58" t="s">
        <v>77</v>
      </c>
      <c r="H1" s="70" t="s">
        <v>4</v>
      </c>
      <c r="I1" s="58" t="s">
        <v>5</v>
      </c>
      <c r="J1" s="70" t="s">
        <v>6</v>
      </c>
      <c r="K1" s="58" t="s">
        <v>7</v>
      </c>
      <c r="L1" s="58" t="s">
        <v>8</v>
      </c>
      <c r="M1" s="59" t="s">
        <v>9</v>
      </c>
      <c r="N1" s="60" t="s">
        <v>10</v>
      </c>
    </row>
    <row r="2" spans="1:14" ht="13.2" customHeight="1" x14ac:dyDescent="0.25">
      <c r="A2" s="119"/>
      <c r="B2" s="119" t="s">
        <v>193</v>
      </c>
      <c r="C2" s="119" t="str">
        <f>DEC2HEX(D2)</f>
        <v>1</v>
      </c>
      <c r="D2" s="136">
        <v>1</v>
      </c>
      <c r="E2" s="119">
        <v>4</v>
      </c>
      <c r="F2" s="127" t="s">
        <v>194</v>
      </c>
      <c r="G2" s="127" t="s">
        <v>146</v>
      </c>
      <c r="H2" s="117">
        <v>0</v>
      </c>
      <c r="I2" s="43" t="s">
        <v>147</v>
      </c>
      <c r="J2" s="82" t="s">
        <v>303</v>
      </c>
      <c r="K2" s="43"/>
      <c r="L2" s="43">
        <v>0</v>
      </c>
      <c r="M2" s="43">
        <v>1</v>
      </c>
      <c r="N2" s="45"/>
    </row>
    <row r="3" spans="1:14" x14ac:dyDescent="0.25">
      <c r="A3" s="113"/>
      <c r="B3" s="113"/>
      <c r="C3" s="113"/>
      <c r="D3" s="137"/>
      <c r="E3" s="113"/>
      <c r="F3" s="128"/>
      <c r="G3" s="128"/>
      <c r="H3" s="118"/>
      <c r="I3" s="46" t="s">
        <v>148</v>
      </c>
      <c r="J3" s="83" t="s">
        <v>303</v>
      </c>
      <c r="K3" s="46"/>
      <c r="L3" s="46">
        <f>L2+M2</f>
        <v>1</v>
      </c>
      <c r="M3" s="46">
        <v>1</v>
      </c>
      <c r="N3" s="47"/>
    </row>
    <row r="4" spans="1:14" x14ac:dyDescent="0.25">
      <c r="A4" s="113"/>
      <c r="B4" s="113"/>
      <c r="C4" s="113"/>
      <c r="D4" s="137"/>
      <c r="E4" s="113"/>
      <c r="F4" s="128"/>
      <c r="G4" s="128"/>
      <c r="H4" s="118"/>
      <c r="I4" s="46" t="s">
        <v>149</v>
      </c>
      <c r="J4" s="83" t="s">
        <v>303</v>
      </c>
      <c r="K4" s="46"/>
      <c r="L4" s="46">
        <f t="shared" ref="L4:L25" si="0">L3+M3</f>
        <v>2</v>
      </c>
      <c r="M4" s="46">
        <v>1</v>
      </c>
      <c r="N4" s="47"/>
    </row>
    <row r="5" spans="1:14" x14ac:dyDescent="0.25">
      <c r="A5" s="113"/>
      <c r="B5" s="113"/>
      <c r="C5" s="113"/>
      <c r="D5" s="137"/>
      <c r="E5" s="113"/>
      <c r="F5" s="128"/>
      <c r="G5" s="128"/>
      <c r="H5" s="118"/>
      <c r="I5" s="46" t="s">
        <v>150</v>
      </c>
      <c r="J5" s="83" t="s">
        <v>303</v>
      </c>
      <c r="K5" s="46"/>
      <c r="L5" s="46">
        <f t="shared" si="0"/>
        <v>3</v>
      </c>
      <c r="M5" s="46">
        <v>1</v>
      </c>
      <c r="N5" s="47"/>
    </row>
    <row r="6" spans="1:14" x14ac:dyDescent="0.25">
      <c r="A6" s="113"/>
      <c r="B6" s="113"/>
      <c r="C6" s="113"/>
      <c r="D6" s="137"/>
      <c r="E6" s="113"/>
      <c r="F6" s="128"/>
      <c r="G6" s="128"/>
      <c r="H6" s="118"/>
      <c r="I6" s="46" t="s">
        <v>151</v>
      </c>
      <c r="J6" s="83" t="s">
        <v>303</v>
      </c>
      <c r="K6" s="46"/>
      <c r="L6" s="46">
        <f t="shared" si="0"/>
        <v>4</v>
      </c>
      <c r="M6" s="46">
        <v>1</v>
      </c>
      <c r="N6" s="47"/>
    </row>
    <row r="7" spans="1:14" x14ac:dyDescent="0.25">
      <c r="A7" s="113"/>
      <c r="B7" s="113"/>
      <c r="C7" s="113"/>
      <c r="D7" s="137"/>
      <c r="E7" s="113"/>
      <c r="F7" s="128"/>
      <c r="G7" s="128"/>
      <c r="H7" s="118"/>
      <c r="I7" s="46" t="s">
        <v>152</v>
      </c>
      <c r="J7" s="83" t="s">
        <v>303</v>
      </c>
      <c r="K7" s="46"/>
      <c r="L7" s="46">
        <f t="shared" si="0"/>
        <v>5</v>
      </c>
      <c r="M7" s="46">
        <v>1</v>
      </c>
      <c r="N7" s="47"/>
    </row>
    <row r="8" spans="1:14" x14ac:dyDescent="0.25">
      <c r="A8" s="113"/>
      <c r="B8" s="113"/>
      <c r="C8" s="113"/>
      <c r="D8" s="137"/>
      <c r="E8" s="113"/>
      <c r="F8" s="128"/>
      <c r="G8" s="128"/>
      <c r="H8" s="118"/>
      <c r="I8" s="46" t="s">
        <v>153</v>
      </c>
      <c r="J8" s="83" t="s">
        <v>303</v>
      </c>
      <c r="K8" s="46"/>
      <c r="L8" s="46">
        <f t="shared" si="0"/>
        <v>6</v>
      </c>
      <c r="M8" s="46">
        <v>1</v>
      </c>
      <c r="N8" s="47"/>
    </row>
    <row r="9" spans="1:14" x14ac:dyDescent="0.25">
      <c r="A9" s="113"/>
      <c r="B9" s="113"/>
      <c r="C9" s="113"/>
      <c r="D9" s="137"/>
      <c r="E9" s="113"/>
      <c r="F9" s="128"/>
      <c r="G9" s="128"/>
      <c r="H9" s="118"/>
      <c r="I9" s="46" t="s">
        <v>154</v>
      </c>
      <c r="J9" s="83" t="s">
        <v>303</v>
      </c>
      <c r="K9" s="46"/>
      <c r="L9" s="46">
        <f t="shared" si="0"/>
        <v>7</v>
      </c>
      <c r="M9" s="46">
        <v>1</v>
      </c>
      <c r="N9" s="47"/>
    </row>
    <row r="10" spans="1:14" x14ac:dyDescent="0.25">
      <c r="A10" s="113"/>
      <c r="B10" s="113"/>
      <c r="C10" s="113"/>
      <c r="D10" s="137"/>
      <c r="E10" s="113"/>
      <c r="F10" s="128"/>
      <c r="G10" s="128"/>
      <c r="H10" s="118">
        <v>1</v>
      </c>
      <c r="I10" s="46" t="s">
        <v>155</v>
      </c>
      <c r="J10" s="83" t="s">
        <v>303</v>
      </c>
      <c r="K10" s="46"/>
      <c r="L10" s="46">
        <f t="shared" si="0"/>
        <v>8</v>
      </c>
      <c r="M10" s="46">
        <v>1</v>
      </c>
      <c r="N10" s="47"/>
    </row>
    <row r="11" spans="1:14" x14ac:dyDescent="0.25">
      <c r="A11" s="113"/>
      <c r="B11" s="113"/>
      <c r="C11" s="113"/>
      <c r="D11" s="137"/>
      <c r="E11" s="113"/>
      <c r="F11" s="128"/>
      <c r="G11" s="128"/>
      <c r="H11" s="118"/>
      <c r="I11" s="46" t="s">
        <v>156</v>
      </c>
      <c r="J11" s="83" t="s">
        <v>303</v>
      </c>
      <c r="K11" s="46"/>
      <c r="L11" s="46">
        <f t="shared" si="0"/>
        <v>9</v>
      </c>
      <c r="M11" s="46">
        <v>1</v>
      </c>
      <c r="N11" s="47"/>
    </row>
    <row r="12" spans="1:14" x14ac:dyDescent="0.25">
      <c r="A12" s="113"/>
      <c r="B12" s="113"/>
      <c r="C12" s="113"/>
      <c r="D12" s="137"/>
      <c r="E12" s="113"/>
      <c r="F12" s="128"/>
      <c r="G12" s="128"/>
      <c r="H12" s="118"/>
      <c r="I12" s="46" t="s">
        <v>157</v>
      </c>
      <c r="J12" s="83" t="s">
        <v>303</v>
      </c>
      <c r="K12" s="46"/>
      <c r="L12" s="46">
        <f t="shared" si="0"/>
        <v>10</v>
      </c>
      <c r="M12" s="46">
        <v>1</v>
      </c>
      <c r="N12" s="47"/>
    </row>
    <row r="13" spans="1:14" x14ac:dyDescent="0.25">
      <c r="A13" s="113"/>
      <c r="B13" s="113"/>
      <c r="C13" s="113"/>
      <c r="D13" s="137"/>
      <c r="E13" s="113"/>
      <c r="F13" s="128"/>
      <c r="G13" s="128"/>
      <c r="H13" s="118"/>
      <c r="I13" s="46" t="s">
        <v>403</v>
      </c>
      <c r="J13" s="83" t="s">
        <v>303</v>
      </c>
      <c r="K13" s="46"/>
      <c r="L13" s="46">
        <f t="shared" si="0"/>
        <v>11</v>
      </c>
      <c r="M13" s="46">
        <v>1</v>
      </c>
      <c r="N13" s="47"/>
    </row>
    <row r="14" spans="1:14" x14ac:dyDescent="0.25">
      <c r="A14" s="113"/>
      <c r="B14" s="113"/>
      <c r="C14" s="113"/>
      <c r="D14" s="137"/>
      <c r="E14" s="113"/>
      <c r="F14" s="128"/>
      <c r="G14" s="128"/>
      <c r="H14" s="118">
        <v>2</v>
      </c>
      <c r="I14" s="46" t="s">
        <v>168</v>
      </c>
      <c r="J14" s="83" t="s">
        <v>303</v>
      </c>
      <c r="K14" s="46"/>
      <c r="L14" s="46">
        <v>16</v>
      </c>
      <c r="M14" s="46">
        <v>1</v>
      </c>
      <c r="N14" s="47"/>
    </row>
    <row r="15" spans="1:14" x14ac:dyDescent="0.25">
      <c r="A15" s="113"/>
      <c r="B15" s="113"/>
      <c r="C15" s="113"/>
      <c r="D15" s="137"/>
      <c r="E15" s="113"/>
      <c r="F15" s="128"/>
      <c r="G15" s="128"/>
      <c r="H15" s="118"/>
      <c r="I15" s="46" t="s">
        <v>167</v>
      </c>
      <c r="J15" s="83" t="s">
        <v>303</v>
      </c>
      <c r="K15" s="46"/>
      <c r="L15" s="46">
        <f t="shared" si="0"/>
        <v>17</v>
      </c>
      <c r="M15" s="46">
        <v>1</v>
      </c>
      <c r="N15" s="47"/>
    </row>
    <row r="16" spans="1:14" x14ac:dyDescent="0.25">
      <c r="A16" s="113"/>
      <c r="B16" s="113"/>
      <c r="C16" s="113"/>
      <c r="D16" s="137"/>
      <c r="E16" s="113"/>
      <c r="F16" s="128"/>
      <c r="G16" s="128"/>
      <c r="H16" s="118"/>
      <c r="I16" s="46" t="s">
        <v>158</v>
      </c>
      <c r="J16" s="83" t="s">
        <v>303</v>
      </c>
      <c r="K16" s="46"/>
      <c r="L16" s="46">
        <f t="shared" si="0"/>
        <v>18</v>
      </c>
      <c r="M16" s="46">
        <v>1</v>
      </c>
      <c r="N16" s="47"/>
    </row>
    <row r="17" spans="1:14" x14ac:dyDescent="0.25">
      <c r="A17" s="113"/>
      <c r="B17" s="113"/>
      <c r="C17" s="113"/>
      <c r="D17" s="137"/>
      <c r="E17" s="113"/>
      <c r="F17" s="128"/>
      <c r="G17" s="128"/>
      <c r="H17" s="118"/>
      <c r="I17" s="46" t="s">
        <v>159</v>
      </c>
      <c r="J17" s="83" t="s">
        <v>303</v>
      </c>
      <c r="K17" s="46"/>
      <c r="L17" s="46">
        <f t="shared" si="0"/>
        <v>19</v>
      </c>
      <c r="M17" s="46">
        <v>1</v>
      </c>
      <c r="N17" s="47"/>
    </row>
    <row r="18" spans="1:14" x14ac:dyDescent="0.25">
      <c r="A18" s="113"/>
      <c r="B18" s="113"/>
      <c r="C18" s="113"/>
      <c r="D18" s="137"/>
      <c r="E18" s="113"/>
      <c r="F18" s="128"/>
      <c r="G18" s="128"/>
      <c r="H18" s="118"/>
      <c r="I18" s="46" t="s">
        <v>160</v>
      </c>
      <c r="J18" s="83" t="s">
        <v>303</v>
      </c>
      <c r="K18" s="46"/>
      <c r="L18" s="46">
        <f t="shared" si="0"/>
        <v>20</v>
      </c>
      <c r="M18" s="46">
        <v>1</v>
      </c>
      <c r="N18" s="47"/>
    </row>
    <row r="19" spans="1:14" x14ac:dyDescent="0.25">
      <c r="A19" s="113"/>
      <c r="B19" s="113"/>
      <c r="C19" s="113"/>
      <c r="D19" s="137"/>
      <c r="E19" s="113"/>
      <c r="F19" s="128"/>
      <c r="G19" s="128"/>
      <c r="H19" s="118"/>
      <c r="I19" s="46" t="s">
        <v>161</v>
      </c>
      <c r="J19" s="83" t="s">
        <v>303</v>
      </c>
      <c r="K19" s="46"/>
      <c r="L19" s="46">
        <f t="shared" si="0"/>
        <v>21</v>
      </c>
      <c r="M19" s="46">
        <v>1</v>
      </c>
      <c r="N19" s="47"/>
    </row>
    <row r="20" spans="1:14" x14ac:dyDescent="0.25">
      <c r="A20" s="113"/>
      <c r="B20" s="113"/>
      <c r="C20" s="113"/>
      <c r="D20" s="137"/>
      <c r="E20" s="113"/>
      <c r="F20" s="128"/>
      <c r="G20" s="128"/>
      <c r="H20" s="118"/>
      <c r="I20" s="46" t="s">
        <v>162</v>
      </c>
      <c r="J20" s="83" t="s">
        <v>303</v>
      </c>
      <c r="K20" s="46"/>
      <c r="L20" s="46">
        <f t="shared" si="0"/>
        <v>22</v>
      </c>
      <c r="M20" s="46">
        <v>1</v>
      </c>
      <c r="N20" s="47"/>
    </row>
    <row r="21" spans="1:14" x14ac:dyDescent="0.25">
      <c r="A21" s="113"/>
      <c r="B21" s="113"/>
      <c r="C21" s="113"/>
      <c r="D21" s="137"/>
      <c r="E21" s="113"/>
      <c r="F21" s="128"/>
      <c r="G21" s="128"/>
      <c r="H21" s="118"/>
      <c r="I21" s="46" t="s">
        <v>163</v>
      </c>
      <c r="J21" s="83" t="s">
        <v>303</v>
      </c>
      <c r="K21" s="46"/>
      <c r="L21" s="46">
        <f t="shared" si="0"/>
        <v>23</v>
      </c>
      <c r="M21" s="46">
        <v>1</v>
      </c>
      <c r="N21" s="47"/>
    </row>
    <row r="22" spans="1:14" x14ac:dyDescent="0.25">
      <c r="A22" s="113"/>
      <c r="B22" s="113"/>
      <c r="C22" s="113"/>
      <c r="D22" s="137"/>
      <c r="E22" s="113"/>
      <c r="F22" s="128"/>
      <c r="G22" s="128"/>
      <c r="H22" s="118">
        <v>3</v>
      </c>
      <c r="I22" s="46" t="s">
        <v>164</v>
      </c>
      <c r="J22" s="83" t="s">
        <v>303</v>
      </c>
      <c r="K22" s="46"/>
      <c r="L22" s="46">
        <f t="shared" si="0"/>
        <v>24</v>
      </c>
      <c r="M22" s="46">
        <v>1</v>
      </c>
      <c r="N22" s="47"/>
    </row>
    <row r="23" spans="1:14" x14ac:dyDescent="0.25">
      <c r="A23" s="113"/>
      <c r="B23" s="113"/>
      <c r="C23" s="113"/>
      <c r="D23" s="137"/>
      <c r="E23" s="113"/>
      <c r="F23" s="128"/>
      <c r="G23" s="128"/>
      <c r="H23" s="118"/>
      <c r="I23" s="46" t="s">
        <v>165</v>
      </c>
      <c r="J23" s="83" t="s">
        <v>303</v>
      </c>
      <c r="K23" s="46"/>
      <c r="L23" s="46">
        <f t="shared" si="0"/>
        <v>25</v>
      </c>
      <c r="M23" s="46">
        <v>1</v>
      </c>
      <c r="N23" s="47"/>
    </row>
    <row r="24" spans="1:14" x14ac:dyDescent="0.25">
      <c r="A24" s="113"/>
      <c r="B24" s="113"/>
      <c r="C24" s="113"/>
      <c r="D24" s="137"/>
      <c r="E24" s="113"/>
      <c r="F24" s="128"/>
      <c r="G24" s="128"/>
      <c r="H24" s="118"/>
      <c r="I24" s="46" t="s">
        <v>166</v>
      </c>
      <c r="J24" s="83" t="s">
        <v>303</v>
      </c>
      <c r="K24" s="46"/>
      <c r="L24" s="46">
        <f t="shared" si="0"/>
        <v>26</v>
      </c>
      <c r="M24" s="46">
        <v>1</v>
      </c>
      <c r="N24" s="47"/>
    </row>
    <row r="25" spans="1:14" x14ac:dyDescent="0.25">
      <c r="A25" s="120"/>
      <c r="B25" s="120"/>
      <c r="C25" s="120"/>
      <c r="D25" s="138"/>
      <c r="E25" s="120"/>
      <c r="F25" s="129"/>
      <c r="G25" s="129"/>
      <c r="H25" s="118"/>
      <c r="I25" s="49" t="s">
        <v>404</v>
      </c>
      <c r="J25" s="84" t="s">
        <v>303</v>
      </c>
      <c r="K25" s="49"/>
      <c r="L25" s="46">
        <f t="shared" si="0"/>
        <v>27</v>
      </c>
      <c r="M25" s="49">
        <v>1</v>
      </c>
      <c r="N25" s="51"/>
    </row>
    <row r="26" spans="1:14" ht="13.2" customHeight="1" x14ac:dyDescent="0.25">
      <c r="A26" s="119"/>
      <c r="B26" s="119" t="s">
        <v>192</v>
      </c>
      <c r="C26" s="119" t="str">
        <f>DEC2HEX(D26)</f>
        <v>2</v>
      </c>
      <c r="D26" s="136">
        <v>2</v>
      </c>
      <c r="E26" s="119">
        <v>4</v>
      </c>
      <c r="F26" s="127" t="s">
        <v>195</v>
      </c>
      <c r="G26" s="127" t="s">
        <v>146</v>
      </c>
      <c r="H26" s="117">
        <v>0</v>
      </c>
      <c r="I26" s="43" t="s">
        <v>170</v>
      </c>
      <c r="J26" s="82" t="s">
        <v>303</v>
      </c>
      <c r="K26" s="43"/>
      <c r="L26" s="43">
        <v>0</v>
      </c>
      <c r="M26" s="43">
        <v>1</v>
      </c>
      <c r="N26" s="45"/>
    </row>
    <row r="27" spans="1:14" x14ac:dyDescent="0.25">
      <c r="A27" s="113"/>
      <c r="B27" s="113"/>
      <c r="C27" s="113"/>
      <c r="D27" s="137"/>
      <c r="E27" s="113"/>
      <c r="F27" s="128"/>
      <c r="G27" s="128"/>
      <c r="H27" s="118"/>
      <c r="I27" s="46" t="s">
        <v>171</v>
      </c>
      <c r="J27" s="83" t="s">
        <v>303</v>
      </c>
      <c r="K27" s="46"/>
      <c r="L27" s="46">
        <f>L26+M26</f>
        <v>1</v>
      </c>
      <c r="M27" s="46">
        <v>1</v>
      </c>
      <c r="N27" s="47"/>
    </row>
    <row r="28" spans="1:14" x14ac:dyDescent="0.25">
      <c r="A28" s="113"/>
      <c r="B28" s="113"/>
      <c r="C28" s="113"/>
      <c r="D28" s="137"/>
      <c r="E28" s="113"/>
      <c r="F28" s="128"/>
      <c r="G28" s="128"/>
      <c r="H28" s="118"/>
      <c r="I28" s="46" t="s">
        <v>172</v>
      </c>
      <c r="J28" s="83" t="s">
        <v>303</v>
      </c>
      <c r="K28" s="46"/>
      <c r="L28" s="46">
        <f t="shared" ref="L28:L37" si="1">L27+M27</f>
        <v>2</v>
      </c>
      <c r="M28" s="46">
        <v>1</v>
      </c>
      <c r="N28" s="47"/>
    </row>
    <row r="29" spans="1:14" x14ac:dyDescent="0.25">
      <c r="A29" s="113"/>
      <c r="B29" s="113"/>
      <c r="C29" s="113"/>
      <c r="D29" s="137"/>
      <c r="E29" s="113"/>
      <c r="F29" s="128"/>
      <c r="G29" s="128"/>
      <c r="H29" s="118"/>
      <c r="I29" s="46" t="s">
        <v>173</v>
      </c>
      <c r="J29" s="83" t="s">
        <v>303</v>
      </c>
      <c r="K29" s="46"/>
      <c r="L29" s="46">
        <f t="shared" si="1"/>
        <v>3</v>
      </c>
      <c r="M29" s="46">
        <v>1</v>
      </c>
      <c r="N29" s="47"/>
    </row>
    <row r="30" spans="1:14" x14ac:dyDescent="0.25">
      <c r="A30" s="113"/>
      <c r="B30" s="113"/>
      <c r="C30" s="113"/>
      <c r="D30" s="137"/>
      <c r="E30" s="113"/>
      <c r="F30" s="128"/>
      <c r="G30" s="128"/>
      <c r="H30" s="118"/>
      <c r="I30" s="46" t="s">
        <v>174</v>
      </c>
      <c r="J30" s="83" t="s">
        <v>303</v>
      </c>
      <c r="K30" s="46"/>
      <c r="L30" s="46">
        <f t="shared" si="1"/>
        <v>4</v>
      </c>
      <c r="M30" s="46">
        <v>1</v>
      </c>
      <c r="N30" s="47"/>
    </row>
    <row r="31" spans="1:14" x14ac:dyDescent="0.25">
      <c r="A31" s="113"/>
      <c r="B31" s="113"/>
      <c r="C31" s="113"/>
      <c r="D31" s="137"/>
      <c r="E31" s="113"/>
      <c r="F31" s="128"/>
      <c r="G31" s="128"/>
      <c r="H31" s="118"/>
      <c r="I31" s="46" t="s">
        <v>175</v>
      </c>
      <c r="J31" s="83" t="s">
        <v>303</v>
      </c>
      <c r="K31" s="46"/>
      <c r="L31" s="46">
        <f t="shared" si="1"/>
        <v>5</v>
      </c>
      <c r="M31" s="46">
        <v>1</v>
      </c>
      <c r="N31" s="47"/>
    </row>
    <row r="32" spans="1:14" x14ac:dyDescent="0.25">
      <c r="A32" s="113"/>
      <c r="B32" s="113"/>
      <c r="C32" s="113"/>
      <c r="D32" s="137"/>
      <c r="E32" s="113"/>
      <c r="F32" s="128"/>
      <c r="G32" s="128"/>
      <c r="H32" s="118"/>
      <c r="I32" s="46" t="s">
        <v>176</v>
      </c>
      <c r="J32" s="83" t="s">
        <v>303</v>
      </c>
      <c r="K32" s="46"/>
      <c r="L32" s="46">
        <f t="shared" si="1"/>
        <v>6</v>
      </c>
      <c r="M32" s="46">
        <v>1</v>
      </c>
      <c r="N32" s="47"/>
    </row>
    <row r="33" spans="1:14" x14ac:dyDescent="0.25">
      <c r="A33" s="113"/>
      <c r="B33" s="113"/>
      <c r="C33" s="113"/>
      <c r="D33" s="137"/>
      <c r="E33" s="113"/>
      <c r="F33" s="128"/>
      <c r="G33" s="128"/>
      <c r="H33" s="118"/>
      <c r="I33" s="46" t="s">
        <v>177</v>
      </c>
      <c r="J33" s="83" t="s">
        <v>303</v>
      </c>
      <c r="K33" s="46"/>
      <c r="L33" s="46">
        <f t="shared" si="1"/>
        <v>7</v>
      </c>
      <c r="M33" s="46">
        <v>1</v>
      </c>
      <c r="N33" s="47"/>
    </row>
    <row r="34" spans="1:14" x14ac:dyDescent="0.25">
      <c r="A34" s="113"/>
      <c r="B34" s="113"/>
      <c r="C34" s="113"/>
      <c r="D34" s="137"/>
      <c r="E34" s="113"/>
      <c r="F34" s="128"/>
      <c r="G34" s="128"/>
      <c r="H34" s="118">
        <v>1</v>
      </c>
      <c r="I34" s="46" t="s">
        <v>178</v>
      </c>
      <c r="J34" s="83" t="s">
        <v>303</v>
      </c>
      <c r="K34" s="46"/>
      <c r="L34" s="46">
        <f t="shared" si="1"/>
        <v>8</v>
      </c>
      <c r="M34" s="46">
        <v>1</v>
      </c>
      <c r="N34" s="47"/>
    </row>
    <row r="35" spans="1:14" x14ac:dyDescent="0.25">
      <c r="A35" s="113"/>
      <c r="B35" s="113"/>
      <c r="C35" s="113"/>
      <c r="D35" s="137"/>
      <c r="E35" s="113"/>
      <c r="F35" s="128"/>
      <c r="G35" s="128"/>
      <c r="H35" s="118"/>
      <c r="I35" s="46" t="s">
        <v>179</v>
      </c>
      <c r="J35" s="83" t="s">
        <v>303</v>
      </c>
      <c r="K35" s="46"/>
      <c r="L35" s="46">
        <f t="shared" si="1"/>
        <v>9</v>
      </c>
      <c r="M35" s="46">
        <v>1</v>
      </c>
      <c r="N35" s="47"/>
    </row>
    <row r="36" spans="1:14" x14ac:dyDescent="0.25">
      <c r="A36" s="113"/>
      <c r="B36" s="113"/>
      <c r="C36" s="113"/>
      <c r="D36" s="137"/>
      <c r="E36" s="113"/>
      <c r="F36" s="128"/>
      <c r="G36" s="128"/>
      <c r="H36" s="118"/>
      <c r="I36" s="46" t="s">
        <v>180</v>
      </c>
      <c r="J36" s="83" t="s">
        <v>303</v>
      </c>
      <c r="K36" s="46"/>
      <c r="L36" s="46">
        <f t="shared" si="1"/>
        <v>10</v>
      </c>
      <c r="M36" s="46">
        <v>1</v>
      </c>
      <c r="N36" s="47"/>
    </row>
    <row r="37" spans="1:14" x14ac:dyDescent="0.25">
      <c r="A37" s="113"/>
      <c r="B37" s="113"/>
      <c r="C37" s="113"/>
      <c r="D37" s="137"/>
      <c r="E37" s="113"/>
      <c r="F37" s="128"/>
      <c r="G37" s="128"/>
      <c r="H37" s="118"/>
      <c r="I37" s="46" t="s">
        <v>405</v>
      </c>
      <c r="J37" s="83" t="s">
        <v>303</v>
      </c>
      <c r="K37" s="46"/>
      <c r="L37" s="46">
        <f t="shared" si="1"/>
        <v>11</v>
      </c>
      <c r="M37" s="46">
        <v>1</v>
      </c>
      <c r="N37" s="47"/>
    </row>
    <row r="38" spans="1:14" x14ac:dyDescent="0.25">
      <c r="A38" s="113"/>
      <c r="B38" s="113"/>
      <c r="C38" s="113"/>
      <c r="D38" s="137"/>
      <c r="E38" s="113"/>
      <c r="F38" s="128"/>
      <c r="G38" s="128"/>
      <c r="H38" s="118">
        <v>2</v>
      </c>
      <c r="I38" s="46" t="s">
        <v>181</v>
      </c>
      <c r="J38" s="83" t="s">
        <v>303</v>
      </c>
      <c r="K38" s="46"/>
      <c r="L38" s="46">
        <v>16</v>
      </c>
      <c r="M38" s="46">
        <v>1</v>
      </c>
      <c r="N38" s="47"/>
    </row>
    <row r="39" spans="1:14" x14ac:dyDescent="0.25">
      <c r="A39" s="113"/>
      <c r="B39" s="113"/>
      <c r="C39" s="113"/>
      <c r="D39" s="137"/>
      <c r="E39" s="113"/>
      <c r="F39" s="128"/>
      <c r="G39" s="128"/>
      <c r="H39" s="118"/>
      <c r="I39" s="46" t="s">
        <v>182</v>
      </c>
      <c r="J39" s="83" t="s">
        <v>303</v>
      </c>
      <c r="K39" s="46"/>
      <c r="L39" s="46">
        <f t="shared" ref="L39:L49" si="2">L38+M38</f>
        <v>17</v>
      </c>
      <c r="M39" s="46">
        <v>1</v>
      </c>
      <c r="N39" s="47"/>
    </row>
    <row r="40" spans="1:14" x14ac:dyDescent="0.25">
      <c r="A40" s="113"/>
      <c r="B40" s="113"/>
      <c r="C40" s="113"/>
      <c r="D40" s="137"/>
      <c r="E40" s="113"/>
      <c r="F40" s="128"/>
      <c r="G40" s="128"/>
      <c r="H40" s="118"/>
      <c r="I40" s="46" t="s">
        <v>183</v>
      </c>
      <c r="J40" s="83" t="s">
        <v>303</v>
      </c>
      <c r="K40" s="46"/>
      <c r="L40" s="46">
        <f t="shared" si="2"/>
        <v>18</v>
      </c>
      <c r="M40" s="46">
        <v>1</v>
      </c>
      <c r="N40" s="47"/>
    </row>
    <row r="41" spans="1:14" x14ac:dyDescent="0.25">
      <c r="A41" s="113"/>
      <c r="B41" s="113"/>
      <c r="C41" s="113"/>
      <c r="D41" s="137"/>
      <c r="E41" s="113"/>
      <c r="F41" s="128"/>
      <c r="G41" s="128"/>
      <c r="H41" s="118"/>
      <c r="I41" s="46" t="s">
        <v>184</v>
      </c>
      <c r="J41" s="83" t="s">
        <v>303</v>
      </c>
      <c r="K41" s="46"/>
      <c r="L41" s="46">
        <f t="shared" si="2"/>
        <v>19</v>
      </c>
      <c r="M41" s="46">
        <v>1</v>
      </c>
      <c r="N41" s="47"/>
    </row>
    <row r="42" spans="1:14" x14ac:dyDescent="0.25">
      <c r="A42" s="113"/>
      <c r="B42" s="113"/>
      <c r="C42" s="113"/>
      <c r="D42" s="137"/>
      <c r="E42" s="113"/>
      <c r="F42" s="128"/>
      <c r="G42" s="128"/>
      <c r="H42" s="118"/>
      <c r="I42" s="46" t="s">
        <v>185</v>
      </c>
      <c r="J42" s="83" t="s">
        <v>303</v>
      </c>
      <c r="K42" s="46"/>
      <c r="L42" s="46">
        <f t="shared" si="2"/>
        <v>20</v>
      </c>
      <c r="M42" s="46">
        <v>1</v>
      </c>
      <c r="N42" s="47"/>
    </row>
    <row r="43" spans="1:14" x14ac:dyDescent="0.25">
      <c r="A43" s="113"/>
      <c r="B43" s="113"/>
      <c r="C43" s="113"/>
      <c r="D43" s="137"/>
      <c r="E43" s="113"/>
      <c r="F43" s="128"/>
      <c r="G43" s="128"/>
      <c r="H43" s="118"/>
      <c r="I43" s="46" t="s">
        <v>186</v>
      </c>
      <c r="J43" s="83" t="s">
        <v>303</v>
      </c>
      <c r="K43" s="46"/>
      <c r="L43" s="46">
        <f t="shared" si="2"/>
        <v>21</v>
      </c>
      <c r="M43" s="46">
        <v>1</v>
      </c>
      <c r="N43" s="47"/>
    </row>
    <row r="44" spans="1:14" x14ac:dyDescent="0.25">
      <c r="A44" s="113"/>
      <c r="B44" s="113"/>
      <c r="C44" s="113"/>
      <c r="D44" s="137"/>
      <c r="E44" s="113"/>
      <c r="F44" s="128"/>
      <c r="G44" s="128"/>
      <c r="H44" s="118"/>
      <c r="I44" s="46" t="s">
        <v>187</v>
      </c>
      <c r="J44" s="83" t="s">
        <v>303</v>
      </c>
      <c r="K44" s="46"/>
      <c r="L44" s="46">
        <f t="shared" si="2"/>
        <v>22</v>
      </c>
      <c r="M44" s="46">
        <v>1</v>
      </c>
      <c r="N44" s="47"/>
    </row>
    <row r="45" spans="1:14" x14ac:dyDescent="0.25">
      <c r="A45" s="113"/>
      <c r="B45" s="113"/>
      <c r="C45" s="113"/>
      <c r="D45" s="137"/>
      <c r="E45" s="113"/>
      <c r="F45" s="128"/>
      <c r="G45" s="128"/>
      <c r="H45" s="118"/>
      <c r="I45" s="46" t="s">
        <v>188</v>
      </c>
      <c r="J45" s="83" t="s">
        <v>303</v>
      </c>
      <c r="K45" s="46"/>
      <c r="L45" s="46">
        <f t="shared" si="2"/>
        <v>23</v>
      </c>
      <c r="M45" s="46">
        <v>1</v>
      </c>
      <c r="N45" s="47"/>
    </row>
    <row r="46" spans="1:14" x14ac:dyDescent="0.25">
      <c r="A46" s="113"/>
      <c r="B46" s="113"/>
      <c r="C46" s="113"/>
      <c r="D46" s="137"/>
      <c r="E46" s="113"/>
      <c r="F46" s="128"/>
      <c r="G46" s="128"/>
      <c r="H46" s="118">
        <v>3</v>
      </c>
      <c r="I46" s="46" t="s">
        <v>189</v>
      </c>
      <c r="J46" s="83" t="s">
        <v>303</v>
      </c>
      <c r="K46" s="46"/>
      <c r="L46" s="46">
        <f t="shared" si="2"/>
        <v>24</v>
      </c>
      <c r="M46" s="46">
        <v>1</v>
      </c>
      <c r="N46" s="47"/>
    </row>
    <row r="47" spans="1:14" x14ac:dyDescent="0.25">
      <c r="A47" s="113"/>
      <c r="B47" s="113"/>
      <c r="C47" s="113"/>
      <c r="D47" s="137"/>
      <c r="E47" s="113"/>
      <c r="F47" s="128"/>
      <c r="G47" s="128"/>
      <c r="H47" s="118"/>
      <c r="I47" s="46" t="s">
        <v>190</v>
      </c>
      <c r="J47" s="83" t="s">
        <v>303</v>
      </c>
      <c r="K47" s="46"/>
      <c r="L47" s="46">
        <f t="shared" si="2"/>
        <v>25</v>
      </c>
      <c r="M47" s="46">
        <v>1</v>
      </c>
      <c r="N47" s="47"/>
    </row>
    <row r="48" spans="1:14" x14ac:dyDescent="0.25">
      <c r="A48" s="113"/>
      <c r="B48" s="113"/>
      <c r="C48" s="113"/>
      <c r="D48" s="137"/>
      <c r="E48" s="113"/>
      <c r="F48" s="128"/>
      <c r="G48" s="128"/>
      <c r="H48" s="118"/>
      <c r="I48" s="46" t="s">
        <v>191</v>
      </c>
      <c r="J48" s="83" t="s">
        <v>303</v>
      </c>
      <c r="K48" s="46"/>
      <c r="L48" s="46">
        <f t="shared" si="2"/>
        <v>26</v>
      </c>
      <c r="M48" s="46">
        <v>1</v>
      </c>
      <c r="N48" s="47"/>
    </row>
    <row r="49" spans="1:14" x14ac:dyDescent="0.25">
      <c r="A49" s="120"/>
      <c r="B49" s="120"/>
      <c r="C49" s="120"/>
      <c r="D49" s="138"/>
      <c r="E49" s="120"/>
      <c r="F49" s="129"/>
      <c r="G49" s="129"/>
      <c r="H49" s="118"/>
      <c r="I49" s="49" t="s">
        <v>406</v>
      </c>
      <c r="J49" s="84" t="s">
        <v>303</v>
      </c>
      <c r="K49" s="49"/>
      <c r="L49" s="46">
        <f t="shared" si="2"/>
        <v>27</v>
      </c>
      <c r="M49" s="49">
        <v>1</v>
      </c>
      <c r="N49" s="51"/>
    </row>
    <row r="50" spans="1:14" ht="13.2" customHeight="1" x14ac:dyDescent="0.25">
      <c r="A50" s="119"/>
      <c r="B50" s="119" t="s">
        <v>260</v>
      </c>
      <c r="C50" s="119" t="str">
        <f>DEC2HEX(D50)</f>
        <v>3</v>
      </c>
      <c r="D50" s="136">
        <v>3</v>
      </c>
      <c r="E50" s="119">
        <v>4</v>
      </c>
      <c r="F50" s="127" t="s">
        <v>254</v>
      </c>
      <c r="G50" s="127" t="s">
        <v>146</v>
      </c>
      <c r="H50" s="117">
        <v>0</v>
      </c>
      <c r="I50" s="43" t="s">
        <v>196</v>
      </c>
      <c r="J50" s="82" t="s">
        <v>303</v>
      </c>
      <c r="K50" s="43"/>
      <c r="L50" s="43">
        <v>0</v>
      </c>
      <c r="M50" s="43">
        <v>1</v>
      </c>
      <c r="N50" s="45"/>
    </row>
    <row r="51" spans="1:14" x14ac:dyDescent="0.25">
      <c r="A51" s="113"/>
      <c r="B51" s="113"/>
      <c r="C51" s="113"/>
      <c r="D51" s="137"/>
      <c r="E51" s="113"/>
      <c r="F51" s="128"/>
      <c r="G51" s="128"/>
      <c r="H51" s="118"/>
      <c r="I51" s="46" t="s">
        <v>197</v>
      </c>
      <c r="J51" s="83" t="s">
        <v>303</v>
      </c>
      <c r="K51" s="46"/>
      <c r="L51" s="46">
        <f>L50+M50</f>
        <v>1</v>
      </c>
      <c r="M51" s="46">
        <v>1</v>
      </c>
      <c r="N51" s="47"/>
    </row>
    <row r="52" spans="1:14" x14ac:dyDescent="0.25">
      <c r="A52" s="113"/>
      <c r="B52" s="113"/>
      <c r="C52" s="113"/>
      <c r="D52" s="137"/>
      <c r="E52" s="113"/>
      <c r="F52" s="128"/>
      <c r="G52" s="128"/>
      <c r="H52" s="118"/>
      <c r="I52" s="46" t="s">
        <v>198</v>
      </c>
      <c r="J52" s="83" t="s">
        <v>303</v>
      </c>
      <c r="K52" s="46"/>
      <c r="L52" s="46">
        <f t="shared" ref="L52:L61" si="3">L51+M51</f>
        <v>2</v>
      </c>
      <c r="M52" s="46">
        <v>1</v>
      </c>
      <c r="N52" s="47"/>
    </row>
    <row r="53" spans="1:14" x14ac:dyDescent="0.25">
      <c r="A53" s="113"/>
      <c r="B53" s="113"/>
      <c r="C53" s="113"/>
      <c r="D53" s="137"/>
      <c r="E53" s="113"/>
      <c r="F53" s="128"/>
      <c r="G53" s="128"/>
      <c r="H53" s="118"/>
      <c r="I53" s="46" t="s">
        <v>199</v>
      </c>
      <c r="J53" s="83" t="s">
        <v>303</v>
      </c>
      <c r="K53" s="46"/>
      <c r="L53" s="46">
        <f t="shared" si="3"/>
        <v>3</v>
      </c>
      <c r="M53" s="46">
        <v>1</v>
      </c>
      <c r="N53" s="47"/>
    </row>
    <row r="54" spans="1:14" x14ac:dyDescent="0.25">
      <c r="A54" s="113"/>
      <c r="B54" s="113"/>
      <c r="C54" s="113"/>
      <c r="D54" s="137"/>
      <c r="E54" s="113"/>
      <c r="F54" s="128"/>
      <c r="G54" s="128"/>
      <c r="H54" s="118"/>
      <c r="I54" s="46" t="s">
        <v>200</v>
      </c>
      <c r="J54" s="83" t="s">
        <v>303</v>
      </c>
      <c r="K54" s="46"/>
      <c r="L54" s="46">
        <f t="shared" si="3"/>
        <v>4</v>
      </c>
      <c r="M54" s="46">
        <v>1</v>
      </c>
      <c r="N54" s="47"/>
    </row>
    <row r="55" spans="1:14" x14ac:dyDescent="0.25">
      <c r="A55" s="113"/>
      <c r="B55" s="113"/>
      <c r="C55" s="113"/>
      <c r="D55" s="137"/>
      <c r="E55" s="113"/>
      <c r="F55" s="128"/>
      <c r="G55" s="128"/>
      <c r="H55" s="118"/>
      <c r="I55" s="46" t="s">
        <v>201</v>
      </c>
      <c r="J55" s="83" t="s">
        <v>303</v>
      </c>
      <c r="K55" s="46"/>
      <c r="L55" s="46">
        <f t="shared" si="3"/>
        <v>5</v>
      </c>
      <c r="M55" s="46">
        <v>1</v>
      </c>
      <c r="N55" s="47"/>
    </row>
    <row r="56" spans="1:14" x14ac:dyDescent="0.25">
      <c r="A56" s="113"/>
      <c r="B56" s="113"/>
      <c r="C56" s="113"/>
      <c r="D56" s="137"/>
      <c r="E56" s="113"/>
      <c r="F56" s="128"/>
      <c r="G56" s="128"/>
      <c r="H56" s="118"/>
      <c r="I56" s="46" t="s">
        <v>202</v>
      </c>
      <c r="J56" s="83" t="s">
        <v>303</v>
      </c>
      <c r="K56" s="46"/>
      <c r="L56" s="46">
        <f t="shared" si="3"/>
        <v>6</v>
      </c>
      <c r="M56" s="46">
        <v>1</v>
      </c>
      <c r="N56" s="47"/>
    </row>
    <row r="57" spans="1:14" x14ac:dyDescent="0.25">
      <c r="A57" s="113"/>
      <c r="B57" s="113"/>
      <c r="C57" s="113"/>
      <c r="D57" s="137"/>
      <c r="E57" s="113"/>
      <c r="F57" s="128"/>
      <c r="G57" s="128"/>
      <c r="H57" s="118"/>
      <c r="I57" s="46" t="s">
        <v>203</v>
      </c>
      <c r="J57" s="83" t="s">
        <v>303</v>
      </c>
      <c r="K57" s="46"/>
      <c r="L57" s="46">
        <f t="shared" si="3"/>
        <v>7</v>
      </c>
      <c r="M57" s="46">
        <v>1</v>
      </c>
      <c r="N57" s="47"/>
    </row>
    <row r="58" spans="1:14" x14ac:dyDescent="0.25">
      <c r="A58" s="113"/>
      <c r="B58" s="113"/>
      <c r="C58" s="113"/>
      <c r="D58" s="137"/>
      <c r="E58" s="113"/>
      <c r="F58" s="128"/>
      <c r="G58" s="128"/>
      <c r="H58" s="118">
        <v>1</v>
      </c>
      <c r="I58" s="46" t="s">
        <v>204</v>
      </c>
      <c r="J58" s="83" t="s">
        <v>303</v>
      </c>
      <c r="K58" s="46"/>
      <c r="L58" s="46">
        <f t="shared" si="3"/>
        <v>8</v>
      </c>
      <c r="M58" s="46">
        <v>1</v>
      </c>
      <c r="N58" s="47"/>
    </row>
    <row r="59" spans="1:14" x14ac:dyDescent="0.25">
      <c r="A59" s="113"/>
      <c r="B59" s="113"/>
      <c r="C59" s="113"/>
      <c r="D59" s="137"/>
      <c r="E59" s="113"/>
      <c r="F59" s="128"/>
      <c r="G59" s="128"/>
      <c r="H59" s="118"/>
      <c r="I59" s="46" t="s">
        <v>205</v>
      </c>
      <c r="J59" s="83" t="s">
        <v>303</v>
      </c>
      <c r="K59" s="46"/>
      <c r="L59" s="46">
        <f t="shared" si="3"/>
        <v>9</v>
      </c>
      <c r="M59" s="46">
        <v>1</v>
      </c>
      <c r="N59" s="47"/>
    </row>
    <row r="60" spans="1:14" x14ac:dyDescent="0.25">
      <c r="A60" s="113"/>
      <c r="B60" s="113"/>
      <c r="C60" s="113"/>
      <c r="D60" s="137"/>
      <c r="E60" s="113"/>
      <c r="F60" s="128"/>
      <c r="G60" s="128"/>
      <c r="H60" s="118"/>
      <c r="I60" s="46" t="s">
        <v>206</v>
      </c>
      <c r="J60" s="83" t="s">
        <v>303</v>
      </c>
      <c r="K60" s="46"/>
      <c r="L60" s="46">
        <f t="shared" si="3"/>
        <v>10</v>
      </c>
      <c r="M60" s="46">
        <v>1</v>
      </c>
      <c r="N60" s="47"/>
    </row>
    <row r="61" spans="1:14" x14ac:dyDescent="0.25">
      <c r="A61" s="113"/>
      <c r="B61" s="113"/>
      <c r="C61" s="113"/>
      <c r="D61" s="137"/>
      <c r="E61" s="113"/>
      <c r="F61" s="128"/>
      <c r="G61" s="128"/>
      <c r="H61" s="118"/>
      <c r="I61" s="46" t="s">
        <v>407</v>
      </c>
      <c r="J61" s="83" t="s">
        <v>303</v>
      </c>
      <c r="K61" s="46"/>
      <c r="L61" s="46">
        <f t="shared" si="3"/>
        <v>11</v>
      </c>
      <c r="M61" s="46">
        <v>1</v>
      </c>
      <c r="N61" s="47"/>
    </row>
    <row r="62" spans="1:14" x14ac:dyDescent="0.25">
      <c r="A62" s="113"/>
      <c r="B62" s="113"/>
      <c r="C62" s="113"/>
      <c r="D62" s="137"/>
      <c r="E62" s="113"/>
      <c r="F62" s="128"/>
      <c r="G62" s="128"/>
      <c r="H62" s="118">
        <v>2</v>
      </c>
      <c r="I62" s="46" t="s">
        <v>207</v>
      </c>
      <c r="J62" s="83" t="s">
        <v>303</v>
      </c>
      <c r="K62" s="46"/>
      <c r="L62" s="46">
        <v>16</v>
      </c>
      <c r="M62" s="46">
        <v>1</v>
      </c>
      <c r="N62" s="47"/>
    </row>
    <row r="63" spans="1:14" x14ac:dyDescent="0.25">
      <c r="A63" s="113"/>
      <c r="B63" s="113"/>
      <c r="C63" s="113"/>
      <c r="D63" s="137"/>
      <c r="E63" s="113"/>
      <c r="F63" s="128"/>
      <c r="G63" s="128"/>
      <c r="H63" s="118"/>
      <c r="I63" s="46" t="s">
        <v>208</v>
      </c>
      <c r="J63" s="83" t="s">
        <v>303</v>
      </c>
      <c r="K63" s="46"/>
      <c r="L63" s="46">
        <f t="shared" ref="L63:L73" si="4">L62+M62</f>
        <v>17</v>
      </c>
      <c r="M63" s="46">
        <v>1</v>
      </c>
      <c r="N63" s="47"/>
    </row>
    <row r="64" spans="1:14" x14ac:dyDescent="0.25">
      <c r="A64" s="113"/>
      <c r="B64" s="113"/>
      <c r="C64" s="113"/>
      <c r="D64" s="137"/>
      <c r="E64" s="113"/>
      <c r="F64" s="128"/>
      <c r="G64" s="128"/>
      <c r="H64" s="118"/>
      <c r="I64" s="46" t="s">
        <v>209</v>
      </c>
      <c r="J64" s="83" t="s">
        <v>303</v>
      </c>
      <c r="K64" s="46"/>
      <c r="L64" s="46">
        <f t="shared" si="4"/>
        <v>18</v>
      </c>
      <c r="M64" s="46">
        <v>1</v>
      </c>
      <c r="N64" s="47"/>
    </row>
    <row r="65" spans="1:14" x14ac:dyDescent="0.25">
      <c r="A65" s="113"/>
      <c r="B65" s="113"/>
      <c r="C65" s="113"/>
      <c r="D65" s="137"/>
      <c r="E65" s="113"/>
      <c r="F65" s="128"/>
      <c r="G65" s="128"/>
      <c r="H65" s="118"/>
      <c r="I65" s="46" t="s">
        <v>210</v>
      </c>
      <c r="J65" s="83" t="s">
        <v>303</v>
      </c>
      <c r="K65" s="46"/>
      <c r="L65" s="46">
        <f t="shared" si="4"/>
        <v>19</v>
      </c>
      <c r="M65" s="46">
        <v>1</v>
      </c>
      <c r="N65" s="47"/>
    </row>
    <row r="66" spans="1:14" x14ac:dyDescent="0.25">
      <c r="A66" s="113"/>
      <c r="B66" s="113"/>
      <c r="C66" s="113"/>
      <c r="D66" s="137"/>
      <c r="E66" s="113"/>
      <c r="F66" s="128"/>
      <c r="G66" s="128"/>
      <c r="H66" s="118"/>
      <c r="I66" s="46" t="s">
        <v>211</v>
      </c>
      <c r="J66" s="83" t="s">
        <v>303</v>
      </c>
      <c r="K66" s="46"/>
      <c r="L66" s="46">
        <f t="shared" si="4"/>
        <v>20</v>
      </c>
      <c r="M66" s="46">
        <v>1</v>
      </c>
      <c r="N66" s="47"/>
    </row>
    <row r="67" spans="1:14" x14ac:dyDescent="0.25">
      <c r="A67" s="113"/>
      <c r="B67" s="113"/>
      <c r="C67" s="113"/>
      <c r="D67" s="137"/>
      <c r="E67" s="113"/>
      <c r="F67" s="128"/>
      <c r="G67" s="128"/>
      <c r="H67" s="118"/>
      <c r="I67" s="46" t="s">
        <v>212</v>
      </c>
      <c r="J67" s="83" t="s">
        <v>303</v>
      </c>
      <c r="K67" s="46"/>
      <c r="L67" s="46">
        <f t="shared" si="4"/>
        <v>21</v>
      </c>
      <c r="M67" s="46">
        <v>1</v>
      </c>
      <c r="N67" s="47"/>
    </row>
    <row r="68" spans="1:14" x14ac:dyDescent="0.25">
      <c r="A68" s="113"/>
      <c r="B68" s="113"/>
      <c r="C68" s="113"/>
      <c r="D68" s="137"/>
      <c r="E68" s="113"/>
      <c r="F68" s="128"/>
      <c r="G68" s="128"/>
      <c r="H68" s="118"/>
      <c r="I68" s="46" t="s">
        <v>213</v>
      </c>
      <c r="J68" s="83" t="s">
        <v>303</v>
      </c>
      <c r="K68" s="46"/>
      <c r="L68" s="46">
        <f t="shared" si="4"/>
        <v>22</v>
      </c>
      <c r="M68" s="46">
        <v>1</v>
      </c>
      <c r="N68" s="47"/>
    </row>
    <row r="69" spans="1:14" x14ac:dyDescent="0.25">
      <c r="A69" s="113"/>
      <c r="B69" s="113"/>
      <c r="C69" s="113"/>
      <c r="D69" s="137"/>
      <c r="E69" s="113"/>
      <c r="F69" s="128"/>
      <c r="G69" s="128"/>
      <c r="H69" s="118"/>
      <c r="I69" s="46" t="s">
        <v>214</v>
      </c>
      <c r="J69" s="83" t="s">
        <v>303</v>
      </c>
      <c r="K69" s="46"/>
      <c r="L69" s="46">
        <f t="shared" si="4"/>
        <v>23</v>
      </c>
      <c r="M69" s="46">
        <v>1</v>
      </c>
      <c r="N69" s="47"/>
    </row>
    <row r="70" spans="1:14" x14ac:dyDescent="0.25">
      <c r="A70" s="113"/>
      <c r="B70" s="113"/>
      <c r="C70" s="113"/>
      <c r="D70" s="137"/>
      <c r="E70" s="113"/>
      <c r="F70" s="128"/>
      <c r="G70" s="128"/>
      <c r="H70" s="118">
        <v>3</v>
      </c>
      <c r="I70" s="46" t="s">
        <v>215</v>
      </c>
      <c r="J70" s="83" t="s">
        <v>303</v>
      </c>
      <c r="K70" s="46"/>
      <c r="L70" s="46">
        <f t="shared" si="4"/>
        <v>24</v>
      </c>
      <c r="M70" s="46">
        <v>1</v>
      </c>
      <c r="N70" s="47"/>
    </row>
    <row r="71" spans="1:14" x14ac:dyDescent="0.25">
      <c r="A71" s="113"/>
      <c r="B71" s="113"/>
      <c r="C71" s="113"/>
      <c r="D71" s="137"/>
      <c r="E71" s="113"/>
      <c r="F71" s="128"/>
      <c r="G71" s="128"/>
      <c r="H71" s="118"/>
      <c r="I71" s="46" t="s">
        <v>216</v>
      </c>
      <c r="J71" s="83" t="s">
        <v>303</v>
      </c>
      <c r="K71" s="46"/>
      <c r="L71" s="46">
        <f t="shared" si="4"/>
        <v>25</v>
      </c>
      <c r="M71" s="46">
        <v>1</v>
      </c>
      <c r="N71" s="47"/>
    </row>
    <row r="72" spans="1:14" x14ac:dyDescent="0.25">
      <c r="A72" s="113"/>
      <c r="B72" s="113"/>
      <c r="C72" s="113"/>
      <c r="D72" s="137"/>
      <c r="E72" s="113"/>
      <c r="F72" s="128"/>
      <c r="G72" s="128"/>
      <c r="H72" s="118"/>
      <c r="I72" s="46" t="s">
        <v>217</v>
      </c>
      <c r="J72" s="83" t="s">
        <v>303</v>
      </c>
      <c r="K72" s="46"/>
      <c r="L72" s="46">
        <f t="shared" si="4"/>
        <v>26</v>
      </c>
      <c r="M72" s="46">
        <v>1</v>
      </c>
      <c r="N72" s="47"/>
    </row>
    <row r="73" spans="1:14" x14ac:dyDescent="0.25">
      <c r="A73" s="120"/>
      <c r="B73" s="120"/>
      <c r="C73" s="120"/>
      <c r="D73" s="138"/>
      <c r="E73" s="120"/>
      <c r="F73" s="129"/>
      <c r="G73" s="129"/>
      <c r="H73" s="118"/>
      <c r="I73" s="49" t="s">
        <v>408</v>
      </c>
      <c r="J73" s="84" t="s">
        <v>303</v>
      </c>
      <c r="K73" s="49"/>
      <c r="L73" s="46">
        <f t="shared" si="4"/>
        <v>27</v>
      </c>
      <c r="M73" s="49">
        <v>1</v>
      </c>
      <c r="N73" s="51"/>
    </row>
    <row r="74" spans="1:14" ht="13.2" customHeight="1" x14ac:dyDescent="0.25">
      <c r="A74" s="119"/>
      <c r="B74" s="119" t="s">
        <v>261</v>
      </c>
      <c r="C74" s="119" t="str">
        <f>DEC2HEX(D74)</f>
        <v>4</v>
      </c>
      <c r="D74" s="136">
        <v>4</v>
      </c>
      <c r="E74" s="119">
        <v>4</v>
      </c>
      <c r="F74" s="127" t="s">
        <v>255</v>
      </c>
      <c r="G74" s="127" t="s">
        <v>146</v>
      </c>
      <c r="H74" s="117">
        <v>0</v>
      </c>
      <c r="I74" s="43" t="s">
        <v>218</v>
      </c>
      <c r="J74" s="82" t="s">
        <v>303</v>
      </c>
      <c r="K74" s="43"/>
      <c r="L74" s="43">
        <v>0</v>
      </c>
      <c r="M74" s="43">
        <v>1</v>
      </c>
      <c r="N74" s="45"/>
    </row>
    <row r="75" spans="1:14" x14ac:dyDescent="0.25">
      <c r="A75" s="113"/>
      <c r="B75" s="113"/>
      <c r="C75" s="113"/>
      <c r="D75" s="137"/>
      <c r="E75" s="113"/>
      <c r="F75" s="128"/>
      <c r="G75" s="128"/>
      <c r="H75" s="118"/>
      <c r="I75" s="46" t="s">
        <v>219</v>
      </c>
      <c r="J75" s="83" t="s">
        <v>303</v>
      </c>
      <c r="K75" s="46"/>
      <c r="L75" s="46">
        <f>L74+M74</f>
        <v>1</v>
      </c>
      <c r="M75" s="46">
        <v>1</v>
      </c>
      <c r="N75" s="47"/>
    </row>
    <row r="76" spans="1:14" x14ac:dyDescent="0.25">
      <c r="A76" s="113"/>
      <c r="B76" s="113"/>
      <c r="C76" s="113"/>
      <c r="D76" s="137"/>
      <c r="E76" s="113"/>
      <c r="F76" s="128"/>
      <c r="G76" s="128"/>
      <c r="H76" s="118"/>
      <c r="I76" s="46" t="s">
        <v>220</v>
      </c>
      <c r="J76" s="83" t="s">
        <v>303</v>
      </c>
      <c r="K76" s="46"/>
      <c r="L76" s="46">
        <f t="shared" ref="L76:L85" si="5">L75+M75</f>
        <v>2</v>
      </c>
      <c r="M76" s="46">
        <v>1</v>
      </c>
      <c r="N76" s="47"/>
    </row>
    <row r="77" spans="1:14" x14ac:dyDescent="0.25">
      <c r="A77" s="113"/>
      <c r="B77" s="113"/>
      <c r="C77" s="113"/>
      <c r="D77" s="137"/>
      <c r="E77" s="113"/>
      <c r="F77" s="128"/>
      <c r="G77" s="128"/>
      <c r="H77" s="118"/>
      <c r="I77" s="46" t="s">
        <v>221</v>
      </c>
      <c r="J77" s="83" t="s">
        <v>303</v>
      </c>
      <c r="K77" s="46"/>
      <c r="L77" s="46">
        <f t="shared" si="5"/>
        <v>3</v>
      </c>
      <c r="M77" s="46">
        <v>1</v>
      </c>
      <c r="N77" s="47"/>
    </row>
    <row r="78" spans="1:14" x14ac:dyDescent="0.25">
      <c r="A78" s="113"/>
      <c r="B78" s="113"/>
      <c r="C78" s="113"/>
      <c r="D78" s="137"/>
      <c r="E78" s="113"/>
      <c r="F78" s="128"/>
      <c r="G78" s="128"/>
      <c r="H78" s="118"/>
      <c r="I78" s="46" t="s">
        <v>222</v>
      </c>
      <c r="J78" s="83" t="s">
        <v>303</v>
      </c>
      <c r="K78" s="46"/>
      <c r="L78" s="46">
        <f t="shared" si="5"/>
        <v>4</v>
      </c>
      <c r="M78" s="46">
        <v>1</v>
      </c>
      <c r="N78" s="47"/>
    </row>
    <row r="79" spans="1:14" x14ac:dyDescent="0.25">
      <c r="A79" s="113"/>
      <c r="B79" s="113"/>
      <c r="C79" s="113"/>
      <c r="D79" s="137"/>
      <c r="E79" s="113"/>
      <c r="F79" s="128"/>
      <c r="G79" s="128"/>
      <c r="H79" s="118"/>
      <c r="I79" s="46" t="s">
        <v>223</v>
      </c>
      <c r="J79" s="83" t="s">
        <v>303</v>
      </c>
      <c r="K79" s="46"/>
      <c r="L79" s="46">
        <f t="shared" si="5"/>
        <v>5</v>
      </c>
      <c r="M79" s="46">
        <v>1</v>
      </c>
      <c r="N79" s="47"/>
    </row>
    <row r="80" spans="1:14" x14ac:dyDescent="0.25">
      <c r="A80" s="113"/>
      <c r="B80" s="113"/>
      <c r="C80" s="113"/>
      <c r="D80" s="137"/>
      <c r="E80" s="113"/>
      <c r="F80" s="128"/>
      <c r="G80" s="128"/>
      <c r="H80" s="118"/>
      <c r="I80" s="46" t="s">
        <v>224</v>
      </c>
      <c r="J80" s="83" t="s">
        <v>303</v>
      </c>
      <c r="K80" s="46"/>
      <c r="L80" s="46">
        <f t="shared" si="5"/>
        <v>6</v>
      </c>
      <c r="M80" s="46">
        <v>1</v>
      </c>
      <c r="N80" s="47"/>
    </row>
    <row r="81" spans="1:14" x14ac:dyDescent="0.25">
      <c r="A81" s="113"/>
      <c r="B81" s="113"/>
      <c r="C81" s="113"/>
      <c r="D81" s="137"/>
      <c r="E81" s="113"/>
      <c r="F81" s="128"/>
      <c r="G81" s="128"/>
      <c r="H81" s="118"/>
      <c r="I81" s="46" t="s">
        <v>225</v>
      </c>
      <c r="J81" s="83" t="s">
        <v>303</v>
      </c>
      <c r="K81" s="46"/>
      <c r="L81" s="46">
        <f t="shared" si="5"/>
        <v>7</v>
      </c>
      <c r="M81" s="46">
        <v>1</v>
      </c>
      <c r="N81" s="47"/>
    </row>
    <row r="82" spans="1:14" x14ac:dyDescent="0.25">
      <c r="A82" s="113"/>
      <c r="B82" s="113"/>
      <c r="C82" s="113"/>
      <c r="D82" s="137"/>
      <c r="E82" s="113"/>
      <c r="F82" s="128"/>
      <c r="G82" s="128"/>
      <c r="H82" s="118">
        <v>1</v>
      </c>
      <c r="I82" s="46" t="s">
        <v>226</v>
      </c>
      <c r="J82" s="83" t="s">
        <v>303</v>
      </c>
      <c r="K82" s="46"/>
      <c r="L82" s="46">
        <f t="shared" si="5"/>
        <v>8</v>
      </c>
      <c r="M82" s="46">
        <v>1</v>
      </c>
      <c r="N82" s="47"/>
    </row>
    <row r="83" spans="1:14" x14ac:dyDescent="0.25">
      <c r="A83" s="113"/>
      <c r="B83" s="113"/>
      <c r="C83" s="113"/>
      <c r="D83" s="137"/>
      <c r="E83" s="113"/>
      <c r="F83" s="128"/>
      <c r="G83" s="128"/>
      <c r="H83" s="118"/>
      <c r="I83" s="46" t="s">
        <v>227</v>
      </c>
      <c r="J83" s="83" t="s">
        <v>303</v>
      </c>
      <c r="K83" s="46"/>
      <c r="L83" s="46">
        <f t="shared" si="5"/>
        <v>9</v>
      </c>
      <c r="M83" s="46">
        <v>1</v>
      </c>
      <c r="N83" s="47"/>
    </row>
    <row r="84" spans="1:14" x14ac:dyDescent="0.25">
      <c r="A84" s="113"/>
      <c r="B84" s="113"/>
      <c r="C84" s="113"/>
      <c r="D84" s="137"/>
      <c r="E84" s="113"/>
      <c r="F84" s="128"/>
      <c r="G84" s="128"/>
      <c r="H84" s="118"/>
      <c r="I84" s="46" t="s">
        <v>228</v>
      </c>
      <c r="J84" s="83" t="s">
        <v>303</v>
      </c>
      <c r="K84" s="46"/>
      <c r="L84" s="46">
        <f t="shared" si="5"/>
        <v>10</v>
      </c>
      <c r="M84" s="46">
        <v>1</v>
      </c>
      <c r="N84" s="47"/>
    </row>
    <row r="85" spans="1:14" x14ac:dyDescent="0.25">
      <c r="A85" s="113"/>
      <c r="B85" s="113"/>
      <c r="C85" s="113"/>
      <c r="D85" s="137"/>
      <c r="E85" s="113"/>
      <c r="F85" s="128"/>
      <c r="G85" s="128"/>
      <c r="H85" s="118"/>
      <c r="I85" s="46" t="s">
        <v>409</v>
      </c>
      <c r="J85" s="83" t="s">
        <v>303</v>
      </c>
      <c r="K85" s="46"/>
      <c r="L85" s="46">
        <f t="shared" si="5"/>
        <v>11</v>
      </c>
      <c r="M85" s="46">
        <v>1</v>
      </c>
      <c r="N85" s="47"/>
    </row>
    <row r="86" spans="1:14" x14ac:dyDescent="0.25">
      <c r="A86" s="113"/>
      <c r="B86" s="113"/>
      <c r="C86" s="113"/>
      <c r="D86" s="137"/>
      <c r="E86" s="113"/>
      <c r="F86" s="128"/>
      <c r="G86" s="128"/>
      <c r="H86" s="118">
        <v>2</v>
      </c>
      <c r="I86" s="46" t="s">
        <v>229</v>
      </c>
      <c r="J86" s="83" t="s">
        <v>303</v>
      </c>
      <c r="K86" s="46"/>
      <c r="L86" s="46">
        <v>16</v>
      </c>
      <c r="M86" s="46">
        <v>1</v>
      </c>
      <c r="N86" s="47"/>
    </row>
    <row r="87" spans="1:14" x14ac:dyDescent="0.25">
      <c r="A87" s="113"/>
      <c r="B87" s="113"/>
      <c r="C87" s="113"/>
      <c r="D87" s="137"/>
      <c r="E87" s="113"/>
      <c r="F87" s="128"/>
      <c r="G87" s="128"/>
      <c r="H87" s="118"/>
      <c r="I87" s="46" t="s">
        <v>230</v>
      </c>
      <c r="J87" s="83" t="s">
        <v>303</v>
      </c>
      <c r="K87" s="46"/>
      <c r="L87" s="46">
        <f t="shared" ref="L87:L97" si="6">L86+M86</f>
        <v>17</v>
      </c>
      <c r="M87" s="46">
        <v>1</v>
      </c>
      <c r="N87" s="47"/>
    </row>
    <row r="88" spans="1:14" x14ac:dyDescent="0.25">
      <c r="A88" s="113"/>
      <c r="B88" s="113"/>
      <c r="C88" s="113"/>
      <c r="D88" s="137"/>
      <c r="E88" s="113"/>
      <c r="F88" s="128"/>
      <c r="G88" s="128"/>
      <c r="H88" s="118"/>
      <c r="I88" s="46" t="s">
        <v>231</v>
      </c>
      <c r="J88" s="83" t="s">
        <v>303</v>
      </c>
      <c r="K88" s="46"/>
      <c r="L88" s="46">
        <f t="shared" si="6"/>
        <v>18</v>
      </c>
      <c r="M88" s="46">
        <v>1</v>
      </c>
      <c r="N88" s="47"/>
    </row>
    <row r="89" spans="1:14" x14ac:dyDescent="0.25">
      <c r="A89" s="113"/>
      <c r="B89" s="113"/>
      <c r="C89" s="113"/>
      <c r="D89" s="137"/>
      <c r="E89" s="113"/>
      <c r="F89" s="128"/>
      <c r="G89" s="128"/>
      <c r="H89" s="118"/>
      <c r="I89" s="46" t="s">
        <v>232</v>
      </c>
      <c r="J89" s="83" t="s">
        <v>303</v>
      </c>
      <c r="K89" s="46"/>
      <c r="L89" s="46">
        <f t="shared" si="6"/>
        <v>19</v>
      </c>
      <c r="M89" s="46">
        <v>1</v>
      </c>
      <c r="N89" s="47"/>
    </row>
    <row r="90" spans="1:14" x14ac:dyDescent="0.25">
      <c r="A90" s="113"/>
      <c r="B90" s="113"/>
      <c r="C90" s="113"/>
      <c r="D90" s="137"/>
      <c r="E90" s="113"/>
      <c r="F90" s="128"/>
      <c r="G90" s="128"/>
      <c r="H90" s="118"/>
      <c r="I90" s="46" t="s">
        <v>233</v>
      </c>
      <c r="J90" s="83" t="s">
        <v>303</v>
      </c>
      <c r="K90" s="46"/>
      <c r="L90" s="46">
        <f t="shared" si="6"/>
        <v>20</v>
      </c>
      <c r="M90" s="46">
        <v>1</v>
      </c>
      <c r="N90" s="47"/>
    </row>
    <row r="91" spans="1:14" x14ac:dyDescent="0.25">
      <c r="A91" s="113"/>
      <c r="B91" s="113"/>
      <c r="C91" s="113"/>
      <c r="D91" s="137"/>
      <c r="E91" s="113"/>
      <c r="F91" s="128"/>
      <c r="G91" s="128"/>
      <c r="H91" s="118"/>
      <c r="I91" s="46" t="s">
        <v>234</v>
      </c>
      <c r="J91" s="83" t="s">
        <v>303</v>
      </c>
      <c r="K91" s="46"/>
      <c r="L91" s="46">
        <f t="shared" si="6"/>
        <v>21</v>
      </c>
      <c r="M91" s="46">
        <v>1</v>
      </c>
      <c r="N91" s="47"/>
    </row>
    <row r="92" spans="1:14" x14ac:dyDescent="0.25">
      <c r="A92" s="113"/>
      <c r="B92" s="113"/>
      <c r="C92" s="113"/>
      <c r="D92" s="137"/>
      <c r="E92" s="113"/>
      <c r="F92" s="128"/>
      <c r="G92" s="128"/>
      <c r="H92" s="118"/>
      <c r="I92" s="46" t="s">
        <v>235</v>
      </c>
      <c r="J92" s="83" t="s">
        <v>303</v>
      </c>
      <c r="K92" s="46"/>
      <c r="L92" s="46">
        <f t="shared" si="6"/>
        <v>22</v>
      </c>
      <c r="M92" s="46">
        <v>1</v>
      </c>
      <c r="N92" s="47"/>
    </row>
    <row r="93" spans="1:14" x14ac:dyDescent="0.25">
      <c r="A93" s="113"/>
      <c r="B93" s="113"/>
      <c r="C93" s="113"/>
      <c r="D93" s="137"/>
      <c r="E93" s="113"/>
      <c r="F93" s="128"/>
      <c r="G93" s="128"/>
      <c r="H93" s="118"/>
      <c r="I93" s="46" t="s">
        <v>236</v>
      </c>
      <c r="J93" s="83" t="s">
        <v>303</v>
      </c>
      <c r="K93" s="46"/>
      <c r="L93" s="46">
        <f t="shared" si="6"/>
        <v>23</v>
      </c>
      <c r="M93" s="46">
        <v>1</v>
      </c>
      <c r="N93" s="47"/>
    </row>
    <row r="94" spans="1:14" x14ac:dyDescent="0.25">
      <c r="A94" s="113"/>
      <c r="B94" s="113"/>
      <c r="C94" s="113"/>
      <c r="D94" s="137"/>
      <c r="E94" s="113"/>
      <c r="F94" s="128"/>
      <c r="G94" s="128"/>
      <c r="H94" s="118">
        <v>3</v>
      </c>
      <c r="I94" s="46" t="s">
        <v>237</v>
      </c>
      <c r="J94" s="83" t="s">
        <v>303</v>
      </c>
      <c r="K94" s="46"/>
      <c r="L94" s="46">
        <f t="shared" si="6"/>
        <v>24</v>
      </c>
      <c r="M94" s="46">
        <v>1</v>
      </c>
      <c r="N94" s="47"/>
    </row>
    <row r="95" spans="1:14" x14ac:dyDescent="0.25">
      <c r="A95" s="113"/>
      <c r="B95" s="113"/>
      <c r="C95" s="113"/>
      <c r="D95" s="137"/>
      <c r="E95" s="113"/>
      <c r="F95" s="128"/>
      <c r="G95" s="128"/>
      <c r="H95" s="118"/>
      <c r="I95" s="46" t="s">
        <v>238</v>
      </c>
      <c r="J95" s="83" t="s">
        <v>303</v>
      </c>
      <c r="K95" s="46"/>
      <c r="L95" s="46">
        <f t="shared" si="6"/>
        <v>25</v>
      </c>
      <c r="M95" s="46">
        <v>1</v>
      </c>
      <c r="N95" s="47"/>
    </row>
    <row r="96" spans="1:14" x14ac:dyDescent="0.25">
      <c r="A96" s="113"/>
      <c r="B96" s="113"/>
      <c r="C96" s="113"/>
      <c r="D96" s="137"/>
      <c r="E96" s="113"/>
      <c r="F96" s="128"/>
      <c r="G96" s="128"/>
      <c r="H96" s="118"/>
      <c r="I96" s="46" t="s">
        <v>239</v>
      </c>
      <c r="J96" s="83" t="s">
        <v>303</v>
      </c>
      <c r="K96" s="46"/>
      <c r="L96" s="46">
        <f t="shared" si="6"/>
        <v>26</v>
      </c>
      <c r="M96" s="46">
        <v>1</v>
      </c>
      <c r="N96" s="47"/>
    </row>
    <row r="97" spans="1:14" x14ac:dyDescent="0.25">
      <c r="A97" s="120"/>
      <c r="B97" s="120"/>
      <c r="C97" s="120"/>
      <c r="D97" s="138"/>
      <c r="E97" s="120"/>
      <c r="F97" s="129"/>
      <c r="G97" s="129"/>
      <c r="H97" s="118"/>
      <c r="I97" s="49" t="s">
        <v>410</v>
      </c>
      <c r="J97" s="84" t="s">
        <v>303</v>
      </c>
      <c r="K97" s="49"/>
      <c r="L97" s="46">
        <f t="shared" si="6"/>
        <v>27</v>
      </c>
      <c r="M97" s="49">
        <v>1</v>
      </c>
      <c r="N97" s="51"/>
    </row>
    <row r="98" spans="1:14" ht="13.2" customHeight="1" x14ac:dyDescent="0.25">
      <c r="A98" s="119"/>
      <c r="B98" s="119" t="s">
        <v>240</v>
      </c>
      <c r="C98" s="119" t="str">
        <f>DEC2HEX(D98)</f>
        <v>5</v>
      </c>
      <c r="D98" s="136">
        <v>5</v>
      </c>
      <c r="E98" s="119">
        <v>1</v>
      </c>
      <c r="F98" s="127" t="s">
        <v>241</v>
      </c>
      <c r="G98" s="127" t="s">
        <v>242</v>
      </c>
      <c r="H98" s="117">
        <v>0</v>
      </c>
      <c r="I98" s="52" t="s">
        <v>243</v>
      </c>
      <c r="J98" s="82" t="s">
        <v>303</v>
      </c>
      <c r="K98" s="43"/>
      <c r="L98" s="43">
        <v>0</v>
      </c>
      <c r="M98" s="43">
        <v>1</v>
      </c>
      <c r="N98" s="45"/>
    </row>
    <row r="99" spans="1:14" x14ac:dyDescent="0.25">
      <c r="A99" s="113"/>
      <c r="B99" s="113"/>
      <c r="C99" s="113"/>
      <c r="D99" s="137"/>
      <c r="E99" s="113"/>
      <c r="F99" s="128"/>
      <c r="G99" s="128"/>
      <c r="H99" s="118"/>
      <c r="I99" s="48" t="s">
        <v>244</v>
      </c>
      <c r="J99" s="83" t="s">
        <v>303</v>
      </c>
      <c r="K99" s="46"/>
      <c r="L99" s="46">
        <f>L98+M98</f>
        <v>1</v>
      </c>
      <c r="M99" s="46">
        <v>1</v>
      </c>
      <c r="N99" s="47"/>
    </row>
    <row r="100" spans="1:14" x14ac:dyDescent="0.25">
      <c r="A100" s="113"/>
      <c r="B100" s="113"/>
      <c r="C100" s="113"/>
      <c r="D100" s="137"/>
      <c r="E100" s="113"/>
      <c r="F100" s="128"/>
      <c r="G100" s="128"/>
      <c r="H100" s="118"/>
      <c r="I100" s="48" t="s">
        <v>245</v>
      </c>
      <c r="J100" s="83" t="s">
        <v>303</v>
      </c>
      <c r="K100" s="46"/>
      <c r="L100" s="46">
        <f t="shared" ref="L100:L102" si="7">L99+M99</f>
        <v>2</v>
      </c>
      <c r="M100" s="46">
        <v>1</v>
      </c>
      <c r="N100" s="47"/>
    </row>
    <row r="101" spans="1:14" x14ac:dyDescent="0.25">
      <c r="A101" s="113"/>
      <c r="B101" s="113"/>
      <c r="C101" s="113"/>
      <c r="D101" s="137"/>
      <c r="E101" s="113"/>
      <c r="F101" s="128"/>
      <c r="G101" s="128"/>
      <c r="H101" s="118"/>
      <c r="I101" s="48" t="s">
        <v>246</v>
      </c>
      <c r="J101" s="83" t="s">
        <v>303</v>
      </c>
      <c r="K101" s="46"/>
      <c r="L101" s="46">
        <f t="shared" si="7"/>
        <v>3</v>
      </c>
      <c r="M101" s="46">
        <v>1</v>
      </c>
      <c r="N101" s="47"/>
    </row>
    <row r="102" spans="1:14" x14ac:dyDescent="0.25">
      <c r="A102" s="120"/>
      <c r="B102" s="120"/>
      <c r="C102" s="120"/>
      <c r="D102" s="138"/>
      <c r="E102" s="120"/>
      <c r="F102" s="129"/>
      <c r="G102" s="129"/>
      <c r="H102" s="126"/>
      <c r="I102" s="53" t="s">
        <v>247</v>
      </c>
      <c r="J102" s="84" t="s">
        <v>303</v>
      </c>
      <c r="K102" s="49"/>
      <c r="L102" s="46">
        <f t="shared" si="7"/>
        <v>4</v>
      </c>
      <c r="M102" s="49">
        <v>1</v>
      </c>
      <c r="N102" s="51"/>
    </row>
    <row r="103" spans="1:14" ht="13.2" customHeight="1" x14ac:dyDescent="0.25">
      <c r="A103" s="119"/>
      <c r="B103" s="119" t="s">
        <v>262</v>
      </c>
      <c r="C103" s="119" t="str">
        <f>DEC2HEX(D103)</f>
        <v>B</v>
      </c>
      <c r="D103" s="136">
        <v>11</v>
      </c>
      <c r="E103" s="119">
        <v>8</v>
      </c>
      <c r="F103" s="127" t="s">
        <v>194</v>
      </c>
      <c r="G103" s="127" t="s">
        <v>146</v>
      </c>
      <c r="H103" s="92" t="s">
        <v>14</v>
      </c>
      <c r="I103" s="52" t="s">
        <v>263</v>
      </c>
      <c r="J103" s="82" t="s">
        <v>298</v>
      </c>
      <c r="K103" s="43"/>
      <c r="L103" s="43">
        <v>0</v>
      </c>
      <c r="M103" s="43">
        <v>16</v>
      </c>
      <c r="N103" s="45"/>
    </row>
    <row r="104" spans="1:14" x14ac:dyDescent="0.25">
      <c r="A104" s="113"/>
      <c r="B104" s="113"/>
      <c r="C104" s="113"/>
      <c r="D104" s="137"/>
      <c r="E104" s="113"/>
      <c r="F104" s="128"/>
      <c r="G104" s="128"/>
      <c r="H104" s="88" t="s">
        <v>17</v>
      </c>
      <c r="I104" s="48" t="s">
        <v>264</v>
      </c>
      <c r="J104" s="83" t="s">
        <v>299</v>
      </c>
      <c r="K104" s="46"/>
      <c r="L104" s="46">
        <f>L103+M103</f>
        <v>16</v>
      </c>
      <c r="M104" s="46">
        <v>16</v>
      </c>
      <c r="N104" s="47"/>
    </row>
    <row r="105" spans="1:14" x14ac:dyDescent="0.25">
      <c r="A105" s="113"/>
      <c r="B105" s="113"/>
      <c r="C105" s="113"/>
      <c r="D105" s="137"/>
      <c r="E105" s="113"/>
      <c r="F105" s="128"/>
      <c r="G105" s="128"/>
      <c r="H105" s="88" t="s">
        <v>19</v>
      </c>
      <c r="I105" s="48" t="s">
        <v>265</v>
      </c>
      <c r="J105" s="83" t="s">
        <v>371</v>
      </c>
      <c r="K105" s="46"/>
      <c r="L105" s="46">
        <f t="shared" ref="L105:L106" si="8">L104+M104</f>
        <v>32</v>
      </c>
      <c r="M105" s="46">
        <v>16</v>
      </c>
      <c r="N105" s="47"/>
    </row>
    <row r="106" spans="1:14" x14ac:dyDescent="0.25">
      <c r="A106" s="120"/>
      <c r="B106" s="120"/>
      <c r="C106" s="120"/>
      <c r="D106" s="138"/>
      <c r="E106" s="120"/>
      <c r="F106" s="129"/>
      <c r="G106" s="129"/>
      <c r="H106" s="89" t="s">
        <v>21</v>
      </c>
      <c r="I106" s="53" t="s">
        <v>249</v>
      </c>
      <c r="J106" s="84" t="s">
        <v>253</v>
      </c>
      <c r="K106" s="49"/>
      <c r="L106" s="46">
        <f t="shared" si="8"/>
        <v>48</v>
      </c>
      <c r="M106" s="49">
        <v>16</v>
      </c>
      <c r="N106" s="51"/>
    </row>
    <row r="107" spans="1:14" ht="13.2" customHeight="1" x14ac:dyDescent="0.25">
      <c r="A107" s="119"/>
      <c r="B107" s="119" t="s">
        <v>266</v>
      </c>
      <c r="C107" s="119" t="str">
        <f t="shared" ref="C107" si="9">DEC2HEX(D107)</f>
        <v>C</v>
      </c>
      <c r="D107" s="136">
        <v>12</v>
      </c>
      <c r="E107" s="119">
        <v>8</v>
      </c>
      <c r="F107" s="127" t="s">
        <v>194</v>
      </c>
      <c r="G107" s="127" t="s">
        <v>146</v>
      </c>
      <c r="H107" s="92" t="s">
        <v>14</v>
      </c>
      <c r="I107" s="52" t="s">
        <v>267</v>
      </c>
      <c r="J107" s="82" t="s">
        <v>298</v>
      </c>
      <c r="K107" s="43"/>
      <c r="L107" s="43">
        <v>0</v>
      </c>
      <c r="M107" s="43">
        <v>16</v>
      </c>
      <c r="N107" s="45"/>
    </row>
    <row r="108" spans="1:14" x14ac:dyDescent="0.25">
      <c r="A108" s="113"/>
      <c r="B108" s="113"/>
      <c r="C108" s="113"/>
      <c r="D108" s="137"/>
      <c r="E108" s="113"/>
      <c r="F108" s="128"/>
      <c r="G108" s="128"/>
      <c r="H108" s="88" t="s">
        <v>17</v>
      </c>
      <c r="I108" s="48" t="s">
        <v>268</v>
      </c>
      <c r="J108" s="83" t="s">
        <v>299</v>
      </c>
      <c r="K108" s="46"/>
      <c r="L108" s="46">
        <f>L107+M107</f>
        <v>16</v>
      </c>
      <c r="M108" s="46">
        <v>16</v>
      </c>
      <c r="N108" s="47"/>
    </row>
    <row r="109" spans="1:14" x14ac:dyDescent="0.25">
      <c r="A109" s="113"/>
      <c r="B109" s="113"/>
      <c r="C109" s="113"/>
      <c r="D109" s="137"/>
      <c r="E109" s="113"/>
      <c r="F109" s="128"/>
      <c r="G109" s="128"/>
      <c r="H109" s="88" t="s">
        <v>19</v>
      </c>
      <c r="I109" s="48" t="s">
        <v>269</v>
      </c>
      <c r="J109" s="83" t="s">
        <v>371</v>
      </c>
      <c r="K109" s="46"/>
      <c r="L109" s="46">
        <f t="shared" ref="L109:L110" si="10">L108+M108</f>
        <v>32</v>
      </c>
      <c r="M109" s="46">
        <v>16</v>
      </c>
      <c r="N109" s="47"/>
    </row>
    <row r="110" spans="1:14" x14ac:dyDescent="0.25">
      <c r="A110" s="120"/>
      <c r="B110" s="120"/>
      <c r="C110" s="120"/>
      <c r="D110" s="138"/>
      <c r="E110" s="120"/>
      <c r="F110" s="129"/>
      <c r="G110" s="129"/>
      <c r="H110" s="89" t="s">
        <v>21</v>
      </c>
      <c r="I110" s="53" t="s">
        <v>250</v>
      </c>
      <c r="J110" s="84" t="s">
        <v>253</v>
      </c>
      <c r="K110" s="49"/>
      <c r="L110" s="46">
        <f t="shared" si="10"/>
        <v>48</v>
      </c>
      <c r="M110" s="49">
        <v>16</v>
      </c>
      <c r="N110" s="51"/>
    </row>
    <row r="111" spans="1:14" ht="13.2" customHeight="1" x14ac:dyDescent="0.25">
      <c r="A111" s="119"/>
      <c r="B111" s="119" t="s">
        <v>270</v>
      </c>
      <c r="C111" s="119" t="str">
        <f t="shared" ref="C111" si="11">DEC2HEX(D111)</f>
        <v>D</v>
      </c>
      <c r="D111" s="136">
        <v>13</v>
      </c>
      <c r="E111" s="119">
        <v>8</v>
      </c>
      <c r="F111" s="127" t="s">
        <v>195</v>
      </c>
      <c r="G111" s="127" t="s">
        <v>146</v>
      </c>
      <c r="H111" s="92" t="s">
        <v>14</v>
      </c>
      <c r="I111" s="52" t="s">
        <v>272</v>
      </c>
      <c r="J111" s="82" t="s">
        <v>298</v>
      </c>
      <c r="K111" s="43"/>
      <c r="L111" s="43">
        <v>0</v>
      </c>
      <c r="M111" s="43">
        <v>16</v>
      </c>
      <c r="N111" s="45"/>
    </row>
    <row r="112" spans="1:14" x14ac:dyDescent="0.25">
      <c r="A112" s="113"/>
      <c r="B112" s="113"/>
      <c r="C112" s="113"/>
      <c r="D112" s="137"/>
      <c r="E112" s="113"/>
      <c r="F112" s="128"/>
      <c r="G112" s="128"/>
      <c r="H112" s="88" t="s">
        <v>17</v>
      </c>
      <c r="I112" s="48" t="s">
        <v>273</v>
      </c>
      <c r="J112" s="83" t="s">
        <v>299</v>
      </c>
      <c r="K112" s="46"/>
      <c r="L112" s="46">
        <f>L111+M111</f>
        <v>16</v>
      </c>
      <c r="M112" s="46">
        <v>16</v>
      </c>
      <c r="N112" s="47"/>
    </row>
    <row r="113" spans="1:14" x14ac:dyDescent="0.25">
      <c r="A113" s="113"/>
      <c r="B113" s="113"/>
      <c r="C113" s="113"/>
      <c r="D113" s="137"/>
      <c r="E113" s="113"/>
      <c r="F113" s="128"/>
      <c r="G113" s="128"/>
      <c r="H113" s="88" t="s">
        <v>19</v>
      </c>
      <c r="I113" s="48" t="s">
        <v>274</v>
      </c>
      <c r="J113" s="83" t="s">
        <v>371</v>
      </c>
      <c r="K113" s="46"/>
      <c r="L113" s="46">
        <f t="shared" ref="L113:L114" si="12">L112+M112</f>
        <v>32</v>
      </c>
      <c r="M113" s="46">
        <v>16</v>
      </c>
      <c r="N113" s="47"/>
    </row>
    <row r="114" spans="1:14" x14ac:dyDescent="0.25">
      <c r="A114" s="120"/>
      <c r="B114" s="120"/>
      <c r="C114" s="120"/>
      <c r="D114" s="138"/>
      <c r="E114" s="120"/>
      <c r="F114" s="129"/>
      <c r="G114" s="129"/>
      <c r="H114" s="89" t="s">
        <v>21</v>
      </c>
      <c r="I114" s="53" t="s">
        <v>251</v>
      </c>
      <c r="J114" s="84" t="s">
        <v>253</v>
      </c>
      <c r="K114" s="49"/>
      <c r="L114" s="46">
        <f t="shared" si="12"/>
        <v>48</v>
      </c>
      <c r="M114" s="49">
        <v>16</v>
      </c>
      <c r="N114" s="51"/>
    </row>
    <row r="115" spans="1:14" ht="13.2" customHeight="1" x14ac:dyDescent="0.25">
      <c r="A115" s="119"/>
      <c r="B115" s="119" t="s">
        <v>271</v>
      </c>
      <c r="C115" s="119" t="str">
        <f t="shared" ref="C115" si="13">DEC2HEX(D115)</f>
        <v>E</v>
      </c>
      <c r="D115" s="136">
        <v>14</v>
      </c>
      <c r="E115" s="119">
        <v>8</v>
      </c>
      <c r="F115" s="127" t="s">
        <v>195</v>
      </c>
      <c r="G115" s="127" t="s">
        <v>146</v>
      </c>
      <c r="H115" s="92" t="s">
        <v>14</v>
      </c>
      <c r="I115" s="52" t="s">
        <v>275</v>
      </c>
      <c r="J115" s="82" t="s">
        <v>298</v>
      </c>
      <c r="K115" s="43"/>
      <c r="L115" s="43">
        <v>0</v>
      </c>
      <c r="M115" s="43">
        <v>16</v>
      </c>
      <c r="N115" s="45"/>
    </row>
    <row r="116" spans="1:14" x14ac:dyDescent="0.25">
      <c r="A116" s="113"/>
      <c r="B116" s="113"/>
      <c r="C116" s="113"/>
      <c r="D116" s="137"/>
      <c r="E116" s="113"/>
      <c r="F116" s="128"/>
      <c r="G116" s="128"/>
      <c r="H116" s="88" t="s">
        <v>17</v>
      </c>
      <c r="I116" s="48" t="s">
        <v>276</v>
      </c>
      <c r="J116" s="83" t="s">
        <v>299</v>
      </c>
      <c r="K116" s="46"/>
      <c r="L116" s="46">
        <f>L115+M115</f>
        <v>16</v>
      </c>
      <c r="M116" s="46">
        <v>16</v>
      </c>
      <c r="N116" s="47"/>
    </row>
    <row r="117" spans="1:14" x14ac:dyDescent="0.25">
      <c r="A117" s="113"/>
      <c r="B117" s="113"/>
      <c r="C117" s="113"/>
      <c r="D117" s="137"/>
      <c r="E117" s="113"/>
      <c r="F117" s="128"/>
      <c r="G117" s="128"/>
      <c r="H117" s="88" t="s">
        <v>19</v>
      </c>
      <c r="I117" s="48" t="s">
        <v>277</v>
      </c>
      <c r="J117" s="83" t="s">
        <v>371</v>
      </c>
      <c r="K117" s="46"/>
      <c r="L117" s="46">
        <f t="shared" ref="L117:L118" si="14">L116+M116</f>
        <v>32</v>
      </c>
      <c r="M117" s="46">
        <v>16</v>
      </c>
      <c r="N117" s="47"/>
    </row>
    <row r="118" spans="1:14" x14ac:dyDescent="0.25">
      <c r="A118" s="120"/>
      <c r="B118" s="120"/>
      <c r="C118" s="120"/>
      <c r="D118" s="138"/>
      <c r="E118" s="120"/>
      <c r="F118" s="129"/>
      <c r="G118" s="129"/>
      <c r="H118" s="89" t="s">
        <v>21</v>
      </c>
      <c r="I118" s="53" t="s">
        <v>252</v>
      </c>
      <c r="J118" s="84" t="s">
        <v>253</v>
      </c>
      <c r="K118" s="49"/>
      <c r="L118" s="46">
        <f t="shared" si="14"/>
        <v>48</v>
      </c>
      <c r="M118" s="49">
        <v>16</v>
      </c>
      <c r="N118" s="51"/>
    </row>
    <row r="119" spans="1:14" ht="13.2" customHeight="1" x14ac:dyDescent="0.25">
      <c r="A119" s="119"/>
      <c r="B119" s="119" t="s">
        <v>278</v>
      </c>
      <c r="C119" s="119" t="str">
        <f t="shared" ref="C119" si="15">DEC2HEX(D119)</f>
        <v>F</v>
      </c>
      <c r="D119" s="136">
        <v>15</v>
      </c>
      <c r="E119" s="119">
        <v>8</v>
      </c>
      <c r="F119" s="127" t="s">
        <v>254</v>
      </c>
      <c r="G119" s="127" t="s">
        <v>146</v>
      </c>
      <c r="H119" s="92" t="s">
        <v>14</v>
      </c>
      <c r="I119" s="52" t="s">
        <v>282</v>
      </c>
      <c r="J119" s="82" t="s">
        <v>298</v>
      </c>
      <c r="K119" s="43"/>
      <c r="L119" s="43">
        <v>0</v>
      </c>
      <c r="M119" s="43">
        <v>16</v>
      </c>
      <c r="N119" s="45"/>
    </row>
    <row r="120" spans="1:14" x14ac:dyDescent="0.25">
      <c r="A120" s="113"/>
      <c r="B120" s="113"/>
      <c r="C120" s="113"/>
      <c r="D120" s="137"/>
      <c r="E120" s="113"/>
      <c r="F120" s="128"/>
      <c r="G120" s="128"/>
      <c r="H120" s="88" t="s">
        <v>17</v>
      </c>
      <c r="I120" s="48" t="s">
        <v>283</v>
      </c>
      <c r="J120" s="83" t="s">
        <v>299</v>
      </c>
      <c r="K120" s="46"/>
      <c r="L120" s="46">
        <f>L119+M119</f>
        <v>16</v>
      </c>
      <c r="M120" s="46">
        <v>16</v>
      </c>
      <c r="N120" s="47"/>
    </row>
    <row r="121" spans="1:14" x14ac:dyDescent="0.25">
      <c r="A121" s="113"/>
      <c r="B121" s="113"/>
      <c r="C121" s="113"/>
      <c r="D121" s="137"/>
      <c r="E121" s="113"/>
      <c r="F121" s="128"/>
      <c r="G121" s="128"/>
      <c r="H121" s="88" t="s">
        <v>19</v>
      </c>
      <c r="I121" s="48" t="s">
        <v>284</v>
      </c>
      <c r="J121" s="83" t="s">
        <v>371</v>
      </c>
      <c r="K121" s="46"/>
      <c r="L121" s="46">
        <f t="shared" ref="L121:L122" si="16">L120+M120</f>
        <v>32</v>
      </c>
      <c r="M121" s="46">
        <v>16</v>
      </c>
      <c r="N121" s="47"/>
    </row>
    <row r="122" spans="1:14" x14ac:dyDescent="0.25">
      <c r="A122" s="120"/>
      <c r="B122" s="120"/>
      <c r="C122" s="120"/>
      <c r="D122" s="138"/>
      <c r="E122" s="120"/>
      <c r="F122" s="129"/>
      <c r="G122" s="129"/>
      <c r="H122" s="89" t="s">
        <v>21</v>
      </c>
      <c r="I122" s="53" t="s">
        <v>256</v>
      </c>
      <c r="J122" s="84" t="s">
        <v>253</v>
      </c>
      <c r="K122" s="49"/>
      <c r="L122" s="46">
        <f t="shared" si="16"/>
        <v>48</v>
      </c>
      <c r="M122" s="49">
        <v>16</v>
      </c>
      <c r="N122" s="51"/>
    </row>
    <row r="123" spans="1:14" ht="13.2" customHeight="1" x14ac:dyDescent="0.25">
      <c r="A123" s="119"/>
      <c r="B123" s="119" t="s">
        <v>279</v>
      </c>
      <c r="C123" s="119" t="str">
        <f>DEC2HEX(D123)</f>
        <v>10</v>
      </c>
      <c r="D123" s="136">
        <v>16</v>
      </c>
      <c r="E123" s="119">
        <v>8</v>
      </c>
      <c r="F123" s="127" t="s">
        <v>254</v>
      </c>
      <c r="G123" s="127" t="s">
        <v>146</v>
      </c>
      <c r="H123" s="92" t="s">
        <v>14</v>
      </c>
      <c r="I123" s="52" t="s">
        <v>285</v>
      </c>
      <c r="J123" s="82" t="s">
        <v>298</v>
      </c>
      <c r="K123" s="43"/>
      <c r="L123" s="43">
        <v>0</v>
      </c>
      <c r="M123" s="43">
        <v>16</v>
      </c>
      <c r="N123" s="45"/>
    </row>
    <row r="124" spans="1:14" x14ac:dyDescent="0.25">
      <c r="A124" s="113"/>
      <c r="B124" s="113"/>
      <c r="C124" s="113"/>
      <c r="D124" s="137"/>
      <c r="E124" s="113"/>
      <c r="F124" s="128"/>
      <c r="G124" s="128"/>
      <c r="H124" s="88" t="s">
        <v>17</v>
      </c>
      <c r="I124" s="48" t="s">
        <v>286</v>
      </c>
      <c r="J124" s="83" t="s">
        <v>299</v>
      </c>
      <c r="K124" s="46"/>
      <c r="L124" s="46">
        <f>L123+M123</f>
        <v>16</v>
      </c>
      <c r="M124" s="46">
        <v>16</v>
      </c>
      <c r="N124" s="47"/>
    </row>
    <row r="125" spans="1:14" x14ac:dyDescent="0.25">
      <c r="A125" s="113"/>
      <c r="B125" s="113"/>
      <c r="C125" s="113"/>
      <c r="D125" s="137"/>
      <c r="E125" s="113"/>
      <c r="F125" s="128"/>
      <c r="G125" s="128"/>
      <c r="H125" s="88" t="s">
        <v>19</v>
      </c>
      <c r="I125" s="48" t="s">
        <v>287</v>
      </c>
      <c r="J125" s="83" t="s">
        <v>371</v>
      </c>
      <c r="K125" s="46"/>
      <c r="L125" s="46">
        <f t="shared" ref="L125:L126" si="17">L124+M124</f>
        <v>32</v>
      </c>
      <c r="M125" s="46">
        <v>16</v>
      </c>
      <c r="N125" s="47"/>
    </row>
    <row r="126" spans="1:14" x14ac:dyDescent="0.25">
      <c r="A126" s="120"/>
      <c r="B126" s="120"/>
      <c r="C126" s="120"/>
      <c r="D126" s="138"/>
      <c r="E126" s="120"/>
      <c r="F126" s="129"/>
      <c r="G126" s="129"/>
      <c r="H126" s="89" t="s">
        <v>21</v>
      </c>
      <c r="I126" s="53" t="s">
        <v>257</v>
      </c>
      <c r="J126" s="84" t="s">
        <v>253</v>
      </c>
      <c r="K126" s="49"/>
      <c r="L126" s="46">
        <f t="shared" si="17"/>
        <v>48</v>
      </c>
      <c r="M126" s="49">
        <v>16</v>
      </c>
      <c r="N126" s="51"/>
    </row>
    <row r="127" spans="1:14" ht="13.2" customHeight="1" x14ac:dyDescent="0.25">
      <c r="A127" s="119"/>
      <c r="B127" s="119" t="s">
        <v>280</v>
      </c>
      <c r="C127" s="119" t="str">
        <f t="shared" ref="C127" si="18">DEC2HEX(D127)</f>
        <v>11</v>
      </c>
      <c r="D127" s="136">
        <v>17</v>
      </c>
      <c r="E127" s="119">
        <v>8</v>
      </c>
      <c r="F127" s="127" t="s">
        <v>255</v>
      </c>
      <c r="G127" s="127" t="s">
        <v>146</v>
      </c>
      <c r="H127" s="92" t="s">
        <v>14</v>
      </c>
      <c r="I127" s="52" t="s">
        <v>288</v>
      </c>
      <c r="J127" s="82" t="s">
        <v>298</v>
      </c>
      <c r="K127" s="43"/>
      <c r="L127" s="43">
        <v>0</v>
      </c>
      <c r="M127" s="43">
        <v>16</v>
      </c>
      <c r="N127" s="45"/>
    </row>
    <row r="128" spans="1:14" x14ac:dyDescent="0.25">
      <c r="A128" s="113"/>
      <c r="B128" s="113"/>
      <c r="C128" s="113"/>
      <c r="D128" s="137"/>
      <c r="E128" s="113"/>
      <c r="F128" s="128"/>
      <c r="G128" s="128"/>
      <c r="H128" s="88" t="s">
        <v>17</v>
      </c>
      <c r="I128" s="48" t="s">
        <v>289</v>
      </c>
      <c r="J128" s="83" t="s">
        <v>299</v>
      </c>
      <c r="K128" s="46"/>
      <c r="L128" s="46">
        <f>L127+M127</f>
        <v>16</v>
      </c>
      <c r="M128" s="46">
        <v>16</v>
      </c>
      <c r="N128" s="47"/>
    </row>
    <row r="129" spans="1:14" x14ac:dyDescent="0.25">
      <c r="A129" s="113"/>
      <c r="B129" s="113"/>
      <c r="C129" s="113"/>
      <c r="D129" s="137"/>
      <c r="E129" s="113"/>
      <c r="F129" s="128"/>
      <c r="G129" s="128"/>
      <c r="H129" s="88" t="s">
        <v>19</v>
      </c>
      <c r="I129" s="48" t="s">
        <v>290</v>
      </c>
      <c r="J129" s="83" t="s">
        <v>371</v>
      </c>
      <c r="K129" s="46"/>
      <c r="L129" s="46">
        <f t="shared" ref="L129:L130" si="19">L128+M128</f>
        <v>32</v>
      </c>
      <c r="M129" s="46">
        <v>16</v>
      </c>
      <c r="N129" s="47"/>
    </row>
    <row r="130" spans="1:14" x14ac:dyDescent="0.25">
      <c r="A130" s="120"/>
      <c r="B130" s="120"/>
      <c r="C130" s="120"/>
      <c r="D130" s="138"/>
      <c r="E130" s="120"/>
      <c r="F130" s="129"/>
      <c r="G130" s="129"/>
      <c r="H130" s="89" t="s">
        <v>21</v>
      </c>
      <c r="I130" s="53" t="s">
        <v>258</v>
      </c>
      <c r="J130" s="84" t="s">
        <v>253</v>
      </c>
      <c r="K130" s="49"/>
      <c r="L130" s="46">
        <f t="shared" si="19"/>
        <v>48</v>
      </c>
      <c r="M130" s="49">
        <v>16</v>
      </c>
      <c r="N130" s="51"/>
    </row>
    <row r="131" spans="1:14" ht="13.2" customHeight="1" x14ac:dyDescent="0.25">
      <c r="A131" s="119"/>
      <c r="B131" s="119" t="s">
        <v>281</v>
      </c>
      <c r="C131" s="119" t="str">
        <f t="shared" ref="C131" si="20">DEC2HEX(D131)</f>
        <v>12</v>
      </c>
      <c r="D131" s="136">
        <v>18</v>
      </c>
      <c r="E131" s="119">
        <v>8</v>
      </c>
      <c r="F131" s="127" t="s">
        <v>255</v>
      </c>
      <c r="G131" s="127" t="s">
        <v>146</v>
      </c>
      <c r="H131" s="92" t="s">
        <v>14</v>
      </c>
      <c r="I131" s="52" t="s">
        <v>291</v>
      </c>
      <c r="J131" s="82" t="s">
        <v>298</v>
      </c>
      <c r="K131" s="43"/>
      <c r="L131" s="43">
        <v>0</v>
      </c>
      <c r="M131" s="43">
        <v>16</v>
      </c>
      <c r="N131" s="45"/>
    </row>
    <row r="132" spans="1:14" x14ac:dyDescent="0.25">
      <c r="A132" s="113"/>
      <c r="B132" s="113"/>
      <c r="C132" s="113"/>
      <c r="D132" s="137"/>
      <c r="E132" s="113"/>
      <c r="F132" s="128"/>
      <c r="G132" s="128"/>
      <c r="H132" s="88" t="s">
        <v>17</v>
      </c>
      <c r="I132" s="48" t="s">
        <v>292</v>
      </c>
      <c r="J132" s="83" t="s">
        <v>299</v>
      </c>
      <c r="K132" s="46"/>
      <c r="L132" s="46">
        <f>L131+M131</f>
        <v>16</v>
      </c>
      <c r="M132" s="46">
        <v>16</v>
      </c>
      <c r="N132" s="47"/>
    </row>
    <row r="133" spans="1:14" x14ac:dyDescent="0.25">
      <c r="A133" s="113"/>
      <c r="B133" s="113"/>
      <c r="C133" s="113"/>
      <c r="D133" s="137"/>
      <c r="E133" s="113"/>
      <c r="F133" s="128"/>
      <c r="G133" s="128"/>
      <c r="H133" s="88" t="s">
        <v>19</v>
      </c>
      <c r="I133" s="48" t="s">
        <v>293</v>
      </c>
      <c r="J133" s="83" t="s">
        <v>371</v>
      </c>
      <c r="K133" s="46"/>
      <c r="L133" s="46">
        <f t="shared" ref="L133:L134" si="21">L132+M132</f>
        <v>32</v>
      </c>
      <c r="M133" s="46">
        <v>16</v>
      </c>
      <c r="N133" s="47"/>
    </row>
    <row r="134" spans="1:14" x14ac:dyDescent="0.25">
      <c r="A134" s="120"/>
      <c r="B134" s="120"/>
      <c r="C134" s="120"/>
      <c r="D134" s="138"/>
      <c r="E134" s="120"/>
      <c r="F134" s="129"/>
      <c r="G134" s="129"/>
      <c r="H134" s="89" t="s">
        <v>21</v>
      </c>
      <c r="I134" s="53" t="s">
        <v>259</v>
      </c>
      <c r="J134" s="84" t="s">
        <v>253</v>
      </c>
      <c r="K134" s="49"/>
      <c r="L134" s="46">
        <f t="shared" si="21"/>
        <v>48</v>
      </c>
      <c r="M134" s="49">
        <v>16</v>
      </c>
      <c r="N134" s="51"/>
    </row>
    <row r="135" spans="1:14" ht="50.4" customHeight="1" x14ac:dyDescent="0.25">
      <c r="A135" s="74"/>
      <c r="B135" s="74" t="s">
        <v>376</v>
      </c>
      <c r="C135" s="74" t="str">
        <f>DEC2HEX(D135)</f>
        <v>13</v>
      </c>
      <c r="D135" s="79">
        <v>19</v>
      </c>
      <c r="E135" s="74">
        <v>1</v>
      </c>
      <c r="F135" s="78" t="s">
        <v>241</v>
      </c>
      <c r="G135" s="78" t="s">
        <v>354</v>
      </c>
      <c r="H135" s="142">
        <v>0</v>
      </c>
      <c r="I135" s="75" t="s">
        <v>377</v>
      </c>
      <c r="J135" s="85" t="s">
        <v>303</v>
      </c>
      <c r="K135" s="76"/>
      <c r="L135" s="76">
        <v>0</v>
      </c>
      <c r="M135" s="76">
        <v>8</v>
      </c>
      <c r="N135" s="77"/>
    </row>
    <row r="136" spans="1:14" ht="13.2" customHeight="1" x14ac:dyDescent="0.25">
      <c r="A136" s="119"/>
      <c r="B136" s="119" t="s">
        <v>301</v>
      </c>
      <c r="C136" s="119" t="str">
        <f>DEC2HEX(D136)</f>
        <v>15</v>
      </c>
      <c r="D136" s="136">
        <v>21</v>
      </c>
      <c r="E136" s="119">
        <v>2</v>
      </c>
      <c r="F136" s="127" t="s">
        <v>194</v>
      </c>
      <c r="G136" s="127" t="s">
        <v>242</v>
      </c>
      <c r="H136" s="92">
        <v>0</v>
      </c>
      <c r="I136" s="43" t="s">
        <v>248</v>
      </c>
      <c r="J136" s="82" t="s">
        <v>303</v>
      </c>
      <c r="K136" s="43"/>
      <c r="L136" s="43">
        <v>0</v>
      </c>
      <c r="M136" s="43">
        <v>8</v>
      </c>
      <c r="N136" s="45"/>
    </row>
    <row r="137" spans="1:14" x14ac:dyDescent="0.25">
      <c r="A137" s="113"/>
      <c r="B137" s="113"/>
      <c r="C137" s="113"/>
      <c r="D137" s="137"/>
      <c r="E137" s="113"/>
      <c r="F137" s="128"/>
      <c r="G137" s="128"/>
      <c r="H137" s="118">
        <v>1</v>
      </c>
      <c r="I137" s="46" t="s">
        <v>302</v>
      </c>
      <c r="J137" s="83" t="s">
        <v>303</v>
      </c>
      <c r="K137" s="46"/>
      <c r="L137" s="46">
        <f>L136+M136</f>
        <v>8</v>
      </c>
      <c r="M137" s="46">
        <v>2</v>
      </c>
      <c r="N137" s="47"/>
    </row>
    <row r="138" spans="1:14" x14ac:dyDescent="0.25">
      <c r="A138" s="120"/>
      <c r="B138" s="120"/>
      <c r="C138" s="120"/>
      <c r="D138" s="138"/>
      <c r="E138" s="120"/>
      <c r="F138" s="129"/>
      <c r="G138" s="129"/>
      <c r="H138" s="126"/>
      <c r="I138" s="49" t="s">
        <v>372</v>
      </c>
      <c r="J138" s="84" t="s">
        <v>303</v>
      </c>
      <c r="K138" s="49"/>
      <c r="L138" s="46">
        <f>L137+M137</f>
        <v>10</v>
      </c>
      <c r="M138" s="49">
        <v>2</v>
      </c>
      <c r="N138" s="51"/>
    </row>
    <row r="139" spans="1:14" ht="13.2" customHeight="1" x14ac:dyDescent="0.25">
      <c r="A139" s="119"/>
      <c r="B139" s="119" t="s">
        <v>304</v>
      </c>
      <c r="C139" s="119" t="str">
        <f t="shared" ref="C139" si="22">DEC2HEX(D139)</f>
        <v>16</v>
      </c>
      <c r="D139" s="136">
        <v>22</v>
      </c>
      <c r="E139" s="119">
        <v>2</v>
      </c>
      <c r="F139" s="127" t="s">
        <v>195</v>
      </c>
      <c r="G139" s="127" t="s">
        <v>242</v>
      </c>
      <c r="H139" s="92">
        <v>0</v>
      </c>
      <c r="I139" s="43" t="s">
        <v>305</v>
      </c>
      <c r="J139" s="82" t="s">
        <v>303</v>
      </c>
      <c r="K139" s="43"/>
      <c r="L139" s="43">
        <v>0</v>
      </c>
      <c r="M139" s="43">
        <v>8</v>
      </c>
      <c r="N139" s="45"/>
    </row>
    <row r="140" spans="1:14" x14ac:dyDescent="0.25">
      <c r="A140" s="113"/>
      <c r="B140" s="113"/>
      <c r="C140" s="113"/>
      <c r="D140" s="137"/>
      <c r="E140" s="113"/>
      <c r="F140" s="128"/>
      <c r="G140" s="128"/>
      <c r="H140" s="118">
        <v>1</v>
      </c>
      <c r="I140" s="46" t="s">
        <v>306</v>
      </c>
      <c r="J140" s="83" t="s">
        <v>303</v>
      </c>
      <c r="K140" s="46"/>
      <c r="L140" s="46">
        <f>L139+M139</f>
        <v>8</v>
      </c>
      <c r="M140" s="46">
        <v>2</v>
      </c>
      <c r="N140" s="47"/>
    </row>
    <row r="141" spans="1:14" x14ac:dyDescent="0.25">
      <c r="A141" s="120"/>
      <c r="B141" s="120"/>
      <c r="C141" s="120"/>
      <c r="D141" s="138"/>
      <c r="E141" s="120"/>
      <c r="F141" s="129"/>
      <c r="G141" s="129"/>
      <c r="H141" s="126"/>
      <c r="I141" s="49" t="s">
        <v>373</v>
      </c>
      <c r="J141" s="84" t="s">
        <v>303</v>
      </c>
      <c r="K141" s="49"/>
      <c r="L141" s="46">
        <f>L140+M140</f>
        <v>10</v>
      </c>
      <c r="M141" s="49">
        <v>2</v>
      </c>
      <c r="N141" s="51"/>
    </row>
    <row r="142" spans="1:14" ht="13.2" customHeight="1" x14ac:dyDescent="0.25">
      <c r="A142" s="119"/>
      <c r="B142" s="119" t="s">
        <v>307</v>
      </c>
      <c r="C142" s="119" t="str">
        <f t="shared" ref="C142" si="23">DEC2HEX(D142)</f>
        <v>17</v>
      </c>
      <c r="D142" s="136">
        <v>23</v>
      </c>
      <c r="E142" s="119">
        <v>2</v>
      </c>
      <c r="F142" s="127" t="s">
        <v>254</v>
      </c>
      <c r="G142" s="127" t="s">
        <v>242</v>
      </c>
      <c r="H142" s="92">
        <v>0</v>
      </c>
      <c r="I142" s="43" t="s">
        <v>308</v>
      </c>
      <c r="J142" s="82" t="s">
        <v>303</v>
      </c>
      <c r="K142" s="43"/>
      <c r="L142" s="43">
        <v>0</v>
      </c>
      <c r="M142" s="43">
        <v>8</v>
      </c>
      <c r="N142" s="45"/>
    </row>
    <row r="143" spans="1:14" x14ac:dyDescent="0.25">
      <c r="A143" s="113"/>
      <c r="B143" s="113"/>
      <c r="C143" s="113"/>
      <c r="D143" s="137"/>
      <c r="E143" s="113"/>
      <c r="F143" s="128"/>
      <c r="G143" s="128"/>
      <c r="H143" s="118">
        <v>1</v>
      </c>
      <c r="I143" s="46" t="s">
        <v>309</v>
      </c>
      <c r="J143" s="83" t="s">
        <v>303</v>
      </c>
      <c r="K143" s="46"/>
      <c r="L143" s="46">
        <f>L142+M142</f>
        <v>8</v>
      </c>
      <c r="M143" s="46">
        <v>2</v>
      </c>
      <c r="N143" s="47"/>
    </row>
    <row r="144" spans="1:14" x14ac:dyDescent="0.25">
      <c r="A144" s="120"/>
      <c r="B144" s="120"/>
      <c r="C144" s="120"/>
      <c r="D144" s="138"/>
      <c r="E144" s="120"/>
      <c r="F144" s="129"/>
      <c r="G144" s="129"/>
      <c r="H144" s="126"/>
      <c r="I144" s="49" t="s">
        <v>374</v>
      </c>
      <c r="J144" s="84" t="s">
        <v>303</v>
      </c>
      <c r="K144" s="49"/>
      <c r="L144" s="46">
        <f>L143+M143</f>
        <v>10</v>
      </c>
      <c r="M144" s="49">
        <v>2</v>
      </c>
      <c r="N144" s="51"/>
    </row>
    <row r="145" spans="1:14" ht="13.2" customHeight="1" x14ac:dyDescent="0.25">
      <c r="A145" s="119"/>
      <c r="B145" s="119" t="s">
        <v>310</v>
      </c>
      <c r="C145" s="119" t="str">
        <f t="shared" ref="C145" si="24">DEC2HEX(D145)</f>
        <v>18</v>
      </c>
      <c r="D145" s="136">
        <v>24</v>
      </c>
      <c r="E145" s="119">
        <v>2</v>
      </c>
      <c r="F145" s="127" t="s">
        <v>255</v>
      </c>
      <c r="G145" s="127" t="s">
        <v>242</v>
      </c>
      <c r="H145" s="92">
        <v>0</v>
      </c>
      <c r="I145" s="43" t="s">
        <v>311</v>
      </c>
      <c r="J145" s="82" t="s">
        <v>303</v>
      </c>
      <c r="K145" s="43"/>
      <c r="L145" s="43">
        <v>0</v>
      </c>
      <c r="M145" s="43">
        <v>8</v>
      </c>
      <c r="N145" s="45"/>
    </row>
    <row r="146" spans="1:14" x14ac:dyDescent="0.25">
      <c r="A146" s="113"/>
      <c r="B146" s="113"/>
      <c r="C146" s="113"/>
      <c r="D146" s="137"/>
      <c r="E146" s="113"/>
      <c r="F146" s="128"/>
      <c r="G146" s="128"/>
      <c r="H146" s="118">
        <v>1</v>
      </c>
      <c r="I146" s="46" t="s">
        <v>312</v>
      </c>
      <c r="J146" s="83" t="s">
        <v>303</v>
      </c>
      <c r="K146" s="46"/>
      <c r="L146" s="46">
        <f>L145+M145</f>
        <v>8</v>
      </c>
      <c r="M146" s="46">
        <v>2</v>
      </c>
      <c r="N146" s="47"/>
    </row>
    <row r="147" spans="1:14" x14ac:dyDescent="0.25">
      <c r="A147" s="120"/>
      <c r="B147" s="120"/>
      <c r="C147" s="120"/>
      <c r="D147" s="138"/>
      <c r="E147" s="120"/>
      <c r="F147" s="129"/>
      <c r="G147" s="129"/>
      <c r="H147" s="126"/>
      <c r="I147" s="49" t="s">
        <v>375</v>
      </c>
      <c r="J147" s="84" t="s">
        <v>303</v>
      </c>
      <c r="K147" s="49"/>
      <c r="L147" s="46">
        <f>L146+M146</f>
        <v>10</v>
      </c>
      <c r="M147" s="49">
        <v>2</v>
      </c>
      <c r="N147" s="51"/>
    </row>
    <row r="148" spans="1:14" ht="13.2" customHeight="1" x14ac:dyDescent="0.25">
      <c r="A148" s="119"/>
      <c r="B148" s="136" t="s">
        <v>355</v>
      </c>
      <c r="C148" s="119" t="str">
        <f>DEC2HEX(D148)</f>
        <v>1F</v>
      </c>
      <c r="D148" s="136">
        <v>31</v>
      </c>
      <c r="E148" s="119">
        <v>7</v>
      </c>
      <c r="F148" s="127" t="s">
        <v>242</v>
      </c>
      <c r="G148" s="127" t="s">
        <v>194</v>
      </c>
      <c r="H148" s="92">
        <v>0</v>
      </c>
      <c r="I148" s="43" t="s">
        <v>387</v>
      </c>
      <c r="J148" s="82" t="s">
        <v>299</v>
      </c>
      <c r="K148" s="43"/>
      <c r="L148" s="43">
        <v>0</v>
      </c>
      <c r="M148" s="43">
        <v>8</v>
      </c>
      <c r="N148" s="45"/>
    </row>
    <row r="149" spans="1:14" x14ac:dyDescent="0.25">
      <c r="A149" s="113"/>
      <c r="B149" s="137"/>
      <c r="C149" s="113"/>
      <c r="D149" s="137"/>
      <c r="E149" s="113"/>
      <c r="F149" s="128"/>
      <c r="G149" s="128"/>
      <c r="H149" s="88">
        <v>1</v>
      </c>
      <c r="I149" s="46" t="s">
        <v>388</v>
      </c>
      <c r="J149" s="83" t="s">
        <v>299</v>
      </c>
      <c r="K149" s="46"/>
      <c r="L149" s="46">
        <f>L148+M148</f>
        <v>8</v>
      </c>
      <c r="M149" s="46">
        <v>8</v>
      </c>
      <c r="N149" s="47"/>
    </row>
    <row r="150" spans="1:14" x14ac:dyDescent="0.25">
      <c r="A150" s="113"/>
      <c r="B150" s="137"/>
      <c r="C150" s="113"/>
      <c r="D150" s="137"/>
      <c r="E150" s="113"/>
      <c r="F150" s="128"/>
      <c r="G150" s="128"/>
      <c r="H150" s="88">
        <v>2</v>
      </c>
      <c r="I150" s="46" t="s">
        <v>329</v>
      </c>
      <c r="J150" s="83" t="s">
        <v>371</v>
      </c>
      <c r="K150" s="46"/>
      <c r="L150" s="46">
        <f t="shared" ref="L150:L153" si="25">L149+M149</f>
        <v>16</v>
      </c>
      <c r="M150" s="46">
        <v>8</v>
      </c>
      <c r="N150" s="47"/>
    </row>
    <row r="151" spans="1:14" x14ac:dyDescent="0.25">
      <c r="A151" s="113"/>
      <c r="B151" s="137"/>
      <c r="C151" s="113"/>
      <c r="D151" s="137"/>
      <c r="E151" s="113"/>
      <c r="F151" s="128"/>
      <c r="G151" s="128"/>
      <c r="H151" s="143">
        <v>3</v>
      </c>
      <c r="I151" s="46" t="s">
        <v>337</v>
      </c>
      <c r="J151" s="83" t="s">
        <v>298</v>
      </c>
      <c r="K151" s="46"/>
      <c r="L151" s="46">
        <f t="shared" si="25"/>
        <v>24</v>
      </c>
      <c r="M151" s="46">
        <v>8</v>
      </c>
      <c r="N151" s="47"/>
    </row>
    <row r="152" spans="1:14" x14ac:dyDescent="0.25">
      <c r="A152" s="113"/>
      <c r="B152" s="137"/>
      <c r="C152" s="113"/>
      <c r="D152" s="137"/>
      <c r="E152" s="113"/>
      <c r="F152" s="128"/>
      <c r="G152" s="128"/>
      <c r="H152" s="143">
        <v>4</v>
      </c>
      <c r="I152" s="46" t="s">
        <v>345</v>
      </c>
      <c r="J152" s="83" t="s">
        <v>298</v>
      </c>
      <c r="K152" s="46"/>
      <c r="L152" s="46">
        <f t="shared" si="25"/>
        <v>32</v>
      </c>
      <c r="M152" s="46">
        <v>8</v>
      </c>
      <c r="N152" s="47"/>
    </row>
    <row r="153" spans="1:14" x14ac:dyDescent="0.25">
      <c r="A153" s="113"/>
      <c r="B153" s="137"/>
      <c r="C153" s="113"/>
      <c r="D153" s="137"/>
      <c r="E153" s="113"/>
      <c r="F153" s="128"/>
      <c r="G153" s="128"/>
      <c r="H153" s="143">
        <v>5</v>
      </c>
      <c r="I153" s="46" t="s">
        <v>411</v>
      </c>
      <c r="J153" s="83" t="s">
        <v>371</v>
      </c>
      <c r="K153" s="46"/>
      <c r="L153" s="46">
        <f t="shared" si="25"/>
        <v>40</v>
      </c>
      <c r="M153" s="46">
        <v>8</v>
      </c>
      <c r="N153" s="47"/>
    </row>
    <row r="154" spans="1:14" x14ac:dyDescent="0.25">
      <c r="A154" s="113"/>
      <c r="B154" s="137"/>
      <c r="C154" s="113"/>
      <c r="D154" s="137"/>
      <c r="E154" s="113"/>
      <c r="F154" s="128"/>
      <c r="G154" s="128"/>
      <c r="H154" s="118">
        <v>6</v>
      </c>
      <c r="I154" s="46" t="s">
        <v>488</v>
      </c>
      <c r="J154" s="83" t="s">
        <v>487</v>
      </c>
      <c r="K154" s="46"/>
      <c r="L154" s="46">
        <f>M153+L153</f>
        <v>48</v>
      </c>
      <c r="M154" s="46">
        <v>6</v>
      </c>
      <c r="N154" s="47"/>
    </row>
    <row r="155" spans="1:14" x14ac:dyDescent="0.25">
      <c r="A155" s="113"/>
      <c r="B155" s="137"/>
      <c r="C155" s="113"/>
      <c r="D155" s="137"/>
      <c r="E155" s="113"/>
      <c r="F155" s="128"/>
      <c r="G155" s="128"/>
      <c r="H155" s="126"/>
      <c r="I155" s="46" t="s">
        <v>363</v>
      </c>
      <c r="J155" s="83" t="s">
        <v>303</v>
      </c>
      <c r="K155" s="46"/>
      <c r="L155" s="46">
        <f>M154+L154</f>
        <v>54</v>
      </c>
      <c r="M155" s="46">
        <v>2</v>
      </c>
      <c r="N155" s="47"/>
    </row>
    <row r="156" spans="1:14" ht="13.2" customHeight="1" x14ac:dyDescent="0.25">
      <c r="A156" s="119"/>
      <c r="B156" s="136" t="s">
        <v>356</v>
      </c>
      <c r="C156" s="119" t="str">
        <f>DEC2HEX(D156)</f>
        <v>20</v>
      </c>
      <c r="D156" s="136">
        <v>32</v>
      </c>
      <c r="E156" s="119">
        <v>7</v>
      </c>
      <c r="F156" s="127" t="s">
        <v>242</v>
      </c>
      <c r="G156" s="127" t="s">
        <v>194</v>
      </c>
      <c r="H156" s="92">
        <v>0</v>
      </c>
      <c r="I156" s="43" t="s">
        <v>389</v>
      </c>
      <c r="J156" s="82" t="s">
        <v>299</v>
      </c>
      <c r="K156" s="43"/>
      <c r="L156" s="43">
        <v>0</v>
      </c>
      <c r="M156" s="43">
        <v>8</v>
      </c>
      <c r="N156" s="45"/>
    </row>
    <row r="157" spans="1:14" x14ac:dyDescent="0.25">
      <c r="A157" s="113"/>
      <c r="B157" s="137"/>
      <c r="C157" s="113"/>
      <c r="D157" s="137"/>
      <c r="E157" s="113"/>
      <c r="F157" s="128"/>
      <c r="G157" s="128"/>
      <c r="H157" s="88">
        <v>1</v>
      </c>
      <c r="I157" s="46" t="s">
        <v>396</v>
      </c>
      <c r="J157" s="83" t="s">
        <v>299</v>
      </c>
      <c r="K157" s="46"/>
      <c r="L157" s="46">
        <f>L156+M156</f>
        <v>8</v>
      </c>
      <c r="M157" s="46">
        <v>8</v>
      </c>
      <c r="N157" s="47"/>
    </row>
    <row r="158" spans="1:14" x14ac:dyDescent="0.25">
      <c r="A158" s="113"/>
      <c r="B158" s="137"/>
      <c r="C158" s="113"/>
      <c r="D158" s="137"/>
      <c r="E158" s="113"/>
      <c r="F158" s="128"/>
      <c r="G158" s="128"/>
      <c r="H158" s="88">
        <v>2</v>
      </c>
      <c r="I158" s="46" t="s">
        <v>330</v>
      </c>
      <c r="J158" s="83" t="s">
        <v>371</v>
      </c>
      <c r="K158" s="46"/>
      <c r="L158" s="46">
        <f t="shared" ref="L158:L161" si="26">L157+M157</f>
        <v>16</v>
      </c>
      <c r="M158" s="46">
        <v>8</v>
      </c>
      <c r="N158" s="47"/>
    </row>
    <row r="159" spans="1:14" x14ac:dyDescent="0.25">
      <c r="A159" s="113"/>
      <c r="B159" s="137"/>
      <c r="C159" s="113"/>
      <c r="D159" s="137"/>
      <c r="E159" s="113"/>
      <c r="F159" s="128"/>
      <c r="G159" s="128"/>
      <c r="H159" s="143">
        <v>3</v>
      </c>
      <c r="I159" s="46" t="s">
        <v>338</v>
      </c>
      <c r="J159" s="83" t="s">
        <v>298</v>
      </c>
      <c r="K159" s="46"/>
      <c r="L159" s="46">
        <f t="shared" si="26"/>
        <v>24</v>
      </c>
      <c r="M159" s="46">
        <v>8</v>
      </c>
      <c r="N159" s="47"/>
    </row>
    <row r="160" spans="1:14" x14ac:dyDescent="0.25">
      <c r="A160" s="113"/>
      <c r="B160" s="137"/>
      <c r="C160" s="113"/>
      <c r="D160" s="137"/>
      <c r="E160" s="113"/>
      <c r="F160" s="128"/>
      <c r="G160" s="128"/>
      <c r="H160" s="143">
        <v>4</v>
      </c>
      <c r="I160" s="46" t="s">
        <v>346</v>
      </c>
      <c r="J160" s="83" t="s">
        <v>298</v>
      </c>
      <c r="K160" s="46"/>
      <c r="L160" s="46">
        <f t="shared" si="26"/>
        <v>32</v>
      </c>
      <c r="M160" s="46">
        <v>8</v>
      </c>
      <c r="N160" s="47"/>
    </row>
    <row r="161" spans="1:14" x14ac:dyDescent="0.25">
      <c r="A161" s="113"/>
      <c r="B161" s="137"/>
      <c r="C161" s="113"/>
      <c r="D161" s="137"/>
      <c r="E161" s="113"/>
      <c r="F161" s="128"/>
      <c r="G161" s="128"/>
      <c r="H161" s="143">
        <v>5</v>
      </c>
      <c r="I161" s="46" t="s">
        <v>412</v>
      </c>
      <c r="J161" s="83" t="s">
        <v>371</v>
      </c>
      <c r="K161" s="46"/>
      <c r="L161" s="46">
        <f t="shared" si="26"/>
        <v>40</v>
      </c>
      <c r="M161" s="46">
        <v>8</v>
      </c>
      <c r="N161" s="47"/>
    </row>
    <row r="162" spans="1:14" x14ac:dyDescent="0.25">
      <c r="A162" s="113"/>
      <c r="B162" s="137"/>
      <c r="C162" s="113"/>
      <c r="D162" s="137"/>
      <c r="E162" s="113"/>
      <c r="F162" s="128"/>
      <c r="G162" s="128"/>
      <c r="H162" s="118">
        <v>6</v>
      </c>
      <c r="I162" s="46" t="s">
        <v>489</v>
      </c>
      <c r="J162" s="83" t="s">
        <v>487</v>
      </c>
      <c r="K162" s="46"/>
      <c r="L162" s="46">
        <f>M161+L161</f>
        <v>48</v>
      </c>
      <c r="M162" s="46">
        <v>6</v>
      </c>
      <c r="N162" s="47"/>
    </row>
    <row r="163" spans="1:14" x14ac:dyDescent="0.25">
      <c r="A163" s="113"/>
      <c r="B163" s="137"/>
      <c r="C163" s="113"/>
      <c r="D163" s="137"/>
      <c r="E163" s="113"/>
      <c r="F163" s="128"/>
      <c r="G163" s="128"/>
      <c r="H163" s="126"/>
      <c r="I163" s="46" t="s">
        <v>364</v>
      </c>
      <c r="J163" s="83" t="s">
        <v>303</v>
      </c>
      <c r="K163" s="46"/>
      <c r="L163" s="46">
        <f>M162+L162</f>
        <v>54</v>
      </c>
      <c r="M163" s="46">
        <v>2</v>
      </c>
      <c r="N163" s="47"/>
    </row>
    <row r="164" spans="1:14" x14ac:dyDescent="0.25">
      <c r="A164" s="119"/>
      <c r="B164" s="136" t="s">
        <v>357</v>
      </c>
      <c r="C164" s="119" t="str">
        <f>DEC2HEX(D164)</f>
        <v>21</v>
      </c>
      <c r="D164" s="136">
        <v>33</v>
      </c>
      <c r="E164" s="119">
        <v>7</v>
      </c>
      <c r="F164" s="127" t="s">
        <v>242</v>
      </c>
      <c r="G164" s="127" t="s">
        <v>195</v>
      </c>
      <c r="H164" s="92">
        <v>0</v>
      </c>
      <c r="I164" s="43" t="s">
        <v>390</v>
      </c>
      <c r="J164" s="82" t="s">
        <v>299</v>
      </c>
      <c r="K164" s="43"/>
      <c r="L164" s="43">
        <v>0</v>
      </c>
      <c r="M164" s="43">
        <v>8</v>
      </c>
      <c r="N164" s="45"/>
    </row>
    <row r="165" spans="1:14" x14ac:dyDescent="0.25">
      <c r="A165" s="113"/>
      <c r="B165" s="137"/>
      <c r="C165" s="113"/>
      <c r="D165" s="137"/>
      <c r="E165" s="113"/>
      <c r="F165" s="128"/>
      <c r="G165" s="128"/>
      <c r="H165" s="88">
        <v>1</v>
      </c>
      <c r="I165" s="46" t="s">
        <v>397</v>
      </c>
      <c r="J165" s="83" t="s">
        <v>299</v>
      </c>
      <c r="K165" s="46"/>
      <c r="L165" s="46">
        <f>L164+M164</f>
        <v>8</v>
      </c>
      <c r="M165" s="46">
        <v>8</v>
      </c>
      <c r="N165" s="47"/>
    </row>
    <row r="166" spans="1:14" x14ac:dyDescent="0.25">
      <c r="A166" s="113"/>
      <c r="B166" s="137"/>
      <c r="C166" s="113"/>
      <c r="D166" s="137"/>
      <c r="E166" s="113"/>
      <c r="F166" s="128"/>
      <c r="G166" s="128"/>
      <c r="H166" s="88">
        <v>2</v>
      </c>
      <c r="I166" s="46" t="s">
        <v>331</v>
      </c>
      <c r="J166" s="83" t="s">
        <v>371</v>
      </c>
      <c r="K166" s="46"/>
      <c r="L166" s="46">
        <f t="shared" ref="L166:L169" si="27">L165+M165</f>
        <v>16</v>
      </c>
      <c r="M166" s="46">
        <v>8</v>
      </c>
      <c r="N166" s="47"/>
    </row>
    <row r="167" spans="1:14" x14ac:dyDescent="0.25">
      <c r="A167" s="113"/>
      <c r="B167" s="137"/>
      <c r="C167" s="113"/>
      <c r="D167" s="137"/>
      <c r="E167" s="113"/>
      <c r="F167" s="128"/>
      <c r="G167" s="128"/>
      <c r="H167" s="143">
        <v>3</v>
      </c>
      <c r="I167" s="46" t="s">
        <v>339</v>
      </c>
      <c r="J167" s="83" t="s">
        <v>298</v>
      </c>
      <c r="K167" s="46"/>
      <c r="L167" s="46">
        <f t="shared" si="27"/>
        <v>24</v>
      </c>
      <c r="M167" s="46">
        <v>8</v>
      </c>
      <c r="N167" s="47"/>
    </row>
    <row r="168" spans="1:14" x14ac:dyDescent="0.25">
      <c r="A168" s="113"/>
      <c r="B168" s="137"/>
      <c r="C168" s="113"/>
      <c r="D168" s="137"/>
      <c r="E168" s="113"/>
      <c r="F168" s="128"/>
      <c r="G168" s="128"/>
      <c r="H168" s="143">
        <v>4</v>
      </c>
      <c r="I168" s="46" t="s">
        <v>347</v>
      </c>
      <c r="J168" s="83" t="s">
        <v>298</v>
      </c>
      <c r="K168" s="46"/>
      <c r="L168" s="46">
        <f t="shared" si="27"/>
        <v>32</v>
      </c>
      <c r="M168" s="46">
        <v>8</v>
      </c>
      <c r="N168" s="47"/>
    </row>
    <row r="169" spans="1:14" x14ac:dyDescent="0.25">
      <c r="A169" s="113"/>
      <c r="B169" s="137"/>
      <c r="C169" s="113"/>
      <c r="D169" s="137"/>
      <c r="E169" s="113"/>
      <c r="F169" s="128"/>
      <c r="G169" s="128"/>
      <c r="H169" s="143">
        <v>5</v>
      </c>
      <c r="I169" s="46" t="s">
        <v>413</v>
      </c>
      <c r="J169" s="83" t="s">
        <v>371</v>
      </c>
      <c r="K169" s="46"/>
      <c r="L169" s="46">
        <f t="shared" si="27"/>
        <v>40</v>
      </c>
      <c r="M169" s="46">
        <v>8</v>
      </c>
      <c r="N169" s="47"/>
    </row>
    <row r="170" spans="1:14" x14ac:dyDescent="0.25">
      <c r="A170" s="113"/>
      <c r="B170" s="137"/>
      <c r="C170" s="113"/>
      <c r="D170" s="137"/>
      <c r="E170" s="113"/>
      <c r="F170" s="128"/>
      <c r="G170" s="128"/>
      <c r="H170" s="118">
        <v>6</v>
      </c>
      <c r="I170" s="46" t="s">
        <v>486</v>
      </c>
      <c r="J170" s="83" t="s">
        <v>487</v>
      </c>
      <c r="K170" s="46"/>
      <c r="L170" s="46">
        <f>M169+L169</f>
        <v>48</v>
      </c>
      <c r="M170" s="46">
        <v>6</v>
      </c>
      <c r="N170" s="47"/>
    </row>
    <row r="171" spans="1:14" x14ac:dyDescent="0.25">
      <c r="A171" s="113"/>
      <c r="B171" s="137"/>
      <c r="C171" s="113"/>
      <c r="D171" s="137"/>
      <c r="E171" s="113"/>
      <c r="F171" s="128"/>
      <c r="G171" s="128"/>
      <c r="H171" s="126"/>
      <c r="I171" s="46" t="s">
        <v>365</v>
      </c>
      <c r="J171" s="83" t="s">
        <v>303</v>
      </c>
      <c r="K171" s="46"/>
      <c r="L171" s="46">
        <f>M170+L170</f>
        <v>54</v>
      </c>
      <c r="M171" s="46">
        <v>2</v>
      </c>
      <c r="N171" s="47"/>
    </row>
    <row r="172" spans="1:14" ht="13.2" customHeight="1" x14ac:dyDescent="0.25">
      <c r="A172" s="119"/>
      <c r="B172" s="136" t="s">
        <v>359</v>
      </c>
      <c r="C172" s="119" t="str">
        <f>DEC2HEX(D172)</f>
        <v>22</v>
      </c>
      <c r="D172" s="136">
        <v>34</v>
      </c>
      <c r="E172" s="119">
        <v>7</v>
      </c>
      <c r="F172" s="127" t="s">
        <v>242</v>
      </c>
      <c r="G172" s="127" t="s">
        <v>195</v>
      </c>
      <c r="H172" s="92">
        <v>0</v>
      </c>
      <c r="I172" s="43" t="s">
        <v>391</v>
      </c>
      <c r="J172" s="82" t="s">
        <v>299</v>
      </c>
      <c r="K172" s="43"/>
      <c r="L172" s="43">
        <v>0</v>
      </c>
      <c r="M172" s="43">
        <v>8</v>
      </c>
      <c r="N172" s="45"/>
    </row>
    <row r="173" spans="1:14" x14ac:dyDescent="0.25">
      <c r="A173" s="113"/>
      <c r="B173" s="137"/>
      <c r="C173" s="113"/>
      <c r="D173" s="137"/>
      <c r="E173" s="113"/>
      <c r="F173" s="128"/>
      <c r="G173" s="128"/>
      <c r="H173" s="88">
        <v>1</v>
      </c>
      <c r="I173" s="46" t="s">
        <v>398</v>
      </c>
      <c r="J173" s="83" t="s">
        <v>299</v>
      </c>
      <c r="K173" s="46"/>
      <c r="L173" s="46">
        <f>L172+M172</f>
        <v>8</v>
      </c>
      <c r="M173" s="46">
        <v>8</v>
      </c>
      <c r="N173" s="47"/>
    </row>
    <row r="174" spans="1:14" x14ac:dyDescent="0.25">
      <c r="A174" s="113"/>
      <c r="B174" s="137"/>
      <c r="C174" s="113"/>
      <c r="D174" s="137"/>
      <c r="E174" s="113"/>
      <c r="F174" s="128"/>
      <c r="G174" s="128"/>
      <c r="H174" s="88">
        <v>2</v>
      </c>
      <c r="I174" s="46" t="s">
        <v>332</v>
      </c>
      <c r="J174" s="83" t="s">
        <v>371</v>
      </c>
      <c r="K174" s="46"/>
      <c r="L174" s="46">
        <f t="shared" ref="L174:L177" si="28">L173+M173</f>
        <v>16</v>
      </c>
      <c r="M174" s="46">
        <v>8</v>
      </c>
      <c r="N174" s="47"/>
    </row>
    <row r="175" spans="1:14" x14ac:dyDescent="0.25">
      <c r="A175" s="113"/>
      <c r="B175" s="137"/>
      <c r="C175" s="113"/>
      <c r="D175" s="137"/>
      <c r="E175" s="113"/>
      <c r="F175" s="128"/>
      <c r="G175" s="128"/>
      <c r="H175" s="143">
        <v>3</v>
      </c>
      <c r="I175" s="46" t="s">
        <v>340</v>
      </c>
      <c r="J175" s="83" t="s">
        <v>298</v>
      </c>
      <c r="K175" s="46"/>
      <c r="L175" s="46">
        <f t="shared" si="28"/>
        <v>24</v>
      </c>
      <c r="M175" s="46">
        <v>8</v>
      </c>
      <c r="N175" s="47"/>
    </row>
    <row r="176" spans="1:14" x14ac:dyDescent="0.25">
      <c r="A176" s="113"/>
      <c r="B176" s="137"/>
      <c r="C176" s="113"/>
      <c r="D176" s="137"/>
      <c r="E176" s="113"/>
      <c r="F176" s="128"/>
      <c r="G176" s="128"/>
      <c r="H176" s="143">
        <v>4</v>
      </c>
      <c r="I176" s="46" t="s">
        <v>348</v>
      </c>
      <c r="J176" s="83" t="s">
        <v>298</v>
      </c>
      <c r="K176" s="46"/>
      <c r="L176" s="46">
        <f t="shared" si="28"/>
        <v>32</v>
      </c>
      <c r="M176" s="46">
        <v>8</v>
      </c>
      <c r="N176" s="47"/>
    </row>
    <row r="177" spans="1:14" x14ac:dyDescent="0.25">
      <c r="A177" s="113"/>
      <c r="B177" s="137"/>
      <c r="C177" s="113"/>
      <c r="D177" s="137"/>
      <c r="E177" s="113"/>
      <c r="F177" s="128"/>
      <c r="G177" s="128"/>
      <c r="H177" s="143">
        <v>5</v>
      </c>
      <c r="I177" s="46" t="s">
        <v>414</v>
      </c>
      <c r="J177" s="83" t="s">
        <v>371</v>
      </c>
      <c r="K177" s="46"/>
      <c r="L177" s="46">
        <f t="shared" si="28"/>
        <v>40</v>
      </c>
      <c r="M177" s="46">
        <v>8</v>
      </c>
      <c r="N177" s="47"/>
    </row>
    <row r="178" spans="1:14" x14ac:dyDescent="0.25">
      <c r="A178" s="113"/>
      <c r="B178" s="137"/>
      <c r="C178" s="113"/>
      <c r="D178" s="137"/>
      <c r="E178" s="113"/>
      <c r="F178" s="128"/>
      <c r="G178" s="128"/>
      <c r="H178" s="118">
        <v>6</v>
      </c>
      <c r="I178" s="46" t="s">
        <v>490</v>
      </c>
      <c r="J178" s="83" t="s">
        <v>487</v>
      </c>
      <c r="K178" s="46"/>
      <c r="L178" s="46">
        <f>M177+L177</f>
        <v>48</v>
      </c>
      <c r="M178" s="46">
        <v>6</v>
      </c>
      <c r="N178" s="47"/>
    </row>
    <row r="179" spans="1:14" x14ac:dyDescent="0.25">
      <c r="A179" s="113"/>
      <c r="B179" s="137"/>
      <c r="C179" s="113"/>
      <c r="D179" s="137"/>
      <c r="E179" s="113"/>
      <c r="F179" s="128"/>
      <c r="G179" s="128"/>
      <c r="H179" s="126"/>
      <c r="I179" s="46" t="s">
        <v>366</v>
      </c>
      <c r="J179" s="83" t="s">
        <v>303</v>
      </c>
      <c r="K179" s="46"/>
      <c r="L179" s="46">
        <f>M178+L178</f>
        <v>54</v>
      </c>
      <c r="M179" s="46">
        <v>2</v>
      </c>
      <c r="N179" s="47"/>
    </row>
    <row r="180" spans="1:14" x14ac:dyDescent="0.25">
      <c r="A180" s="119"/>
      <c r="B180" s="136" t="s">
        <v>358</v>
      </c>
      <c r="C180" s="119" t="str">
        <f>DEC2HEX(D180)</f>
        <v>23</v>
      </c>
      <c r="D180" s="136">
        <v>35</v>
      </c>
      <c r="E180" s="119">
        <v>7</v>
      </c>
      <c r="F180" s="127" t="s">
        <v>242</v>
      </c>
      <c r="G180" s="127" t="s">
        <v>254</v>
      </c>
      <c r="H180" s="92">
        <v>0</v>
      </c>
      <c r="I180" s="43" t="s">
        <v>392</v>
      </c>
      <c r="J180" s="82" t="s">
        <v>299</v>
      </c>
      <c r="K180" s="43"/>
      <c r="L180" s="43">
        <v>0</v>
      </c>
      <c r="M180" s="43">
        <v>8</v>
      </c>
      <c r="N180" s="45"/>
    </row>
    <row r="181" spans="1:14" x14ac:dyDescent="0.25">
      <c r="A181" s="113"/>
      <c r="B181" s="137"/>
      <c r="C181" s="113"/>
      <c r="D181" s="137"/>
      <c r="E181" s="113"/>
      <c r="F181" s="128"/>
      <c r="G181" s="128"/>
      <c r="H181" s="88">
        <v>1</v>
      </c>
      <c r="I181" s="46" t="s">
        <v>399</v>
      </c>
      <c r="J181" s="83" t="s">
        <v>299</v>
      </c>
      <c r="K181" s="46"/>
      <c r="L181" s="46">
        <f>L180+M180</f>
        <v>8</v>
      </c>
      <c r="M181" s="46">
        <v>8</v>
      </c>
      <c r="N181" s="47"/>
    </row>
    <row r="182" spans="1:14" x14ac:dyDescent="0.25">
      <c r="A182" s="113"/>
      <c r="B182" s="137"/>
      <c r="C182" s="113"/>
      <c r="D182" s="137"/>
      <c r="E182" s="113"/>
      <c r="F182" s="128"/>
      <c r="G182" s="128"/>
      <c r="H182" s="88">
        <v>2</v>
      </c>
      <c r="I182" s="46" t="s">
        <v>333</v>
      </c>
      <c r="J182" s="83" t="s">
        <v>371</v>
      </c>
      <c r="K182" s="46"/>
      <c r="L182" s="46">
        <f t="shared" ref="L182:L185" si="29">L181+M181</f>
        <v>16</v>
      </c>
      <c r="M182" s="46">
        <v>8</v>
      </c>
      <c r="N182" s="47"/>
    </row>
    <row r="183" spans="1:14" x14ac:dyDescent="0.25">
      <c r="A183" s="113"/>
      <c r="B183" s="137"/>
      <c r="C183" s="113"/>
      <c r="D183" s="137"/>
      <c r="E183" s="113"/>
      <c r="F183" s="128"/>
      <c r="G183" s="128"/>
      <c r="H183" s="143">
        <v>3</v>
      </c>
      <c r="I183" s="46" t="s">
        <v>341</v>
      </c>
      <c r="J183" s="83" t="s">
        <v>298</v>
      </c>
      <c r="K183" s="46"/>
      <c r="L183" s="46">
        <f t="shared" si="29"/>
        <v>24</v>
      </c>
      <c r="M183" s="46">
        <v>8</v>
      </c>
      <c r="N183" s="47"/>
    </row>
    <row r="184" spans="1:14" x14ac:dyDescent="0.25">
      <c r="A184" s="113"/>
      <c r="B184" s="137"/>
      <c r="C184" s="113"/>
      <c r="D184" s="137"/>
      <c r="E184" s="113"/>
      <c r="F184" s="128"/>
      <c r="G184" s="128"/>
      <c r="H184" s="143">
        <v>4</v>
      </c>
      <c r="I184" s="46" t="s">
        <v>349</v>
      </c>
      <c r="J184" s="83" t="s">
        <v>298</v>
      </c>
      <c r="K184" s="46"/>
      <c r="L184" s="46">
        <f t="shared" si="29"/>
        <v>32</v>
      </c>
      <c r="M184" s="46">
        <v>8</v>
      </c>
      <c r="N184" s="47"/>
    </row>
    <row r="185" spans="1:14" x14ac:dyDescent="0.25">
      <c r="A185" s="113"/>
      <c r="B185" s="137"/>
      <c r="C185" s="113"/>
      <c r="D185" s="137"/>
      <c r="E185" s="113"/>
      <c r="F185" s="128"/>
      <c r="G185" s="128"/>
      <c r="H185" s="143">
        <v>5</v>
      </c>
      <c r="I185" s="46" t="s">
        <v>415</v>
      </c>
      <c r="J185" s="83" t="s">
        <v>371</v>
      </c>
      <c r="K185" s="46"/>
      <c r="L185" s="46">
        <f t="shared" si="29"/>
        <v>40</v>
      </c>
      <c r="M185" s="46">
        <v>8</v>
      </c>
      <c r="N185" s="47"/>
    </row>
    <row r="186" spans="1:14" x14ac:dyDescent="0.25">
      <c r="A186" s="113"/>
      <c r="B186" s="137"/>
      <c r="C186" s="113"/>
      <c r="D186" s="137"/>
      <c r="E186" s="113"/>
      <c r="F186" s="128"/>
      <c r="G186" s="128"/>
      <c r="H186" s="118">
        <v>6</v>
      </c>
      <c r="I186" s="46" t="s">
        <v>491</v>
      </c>
      <c r="J186" s="83" t="s">
        <v>487</v>
      </c>
      <c r="K186" s="46"/>
      <c r="L186" s="46">
        <f>M185+L185</f>
        <v>48</v>
      </c>
      <c r="M186" s="46">
        <v>6</v>
      </c>
      <c r="N186" s="47"/>
    </row>
    <row r="187" spans="1:14" x14ac:dyDescent="0.25">
      <c r="A187" s="113"/>
      <c r="B187" s="137"/>
      <c r="C187" s="113"/>
      <c r="D187" s="137"/>
      <c r="E187" s="113"/>
      <c r="F187" s="128"/>
      <c r="G187" s="128"/>
      <c r="H187" s="126"/>
      <c r="I187" s="46" t="s">
        <v>367</v>
      </c>
      <c r="J187" s="83" t="s">
        <v>303</v>
      </c>
      <c r="K187" s="46"/>
      <c r="L187" s="46">
        <f>M186+L186</f>
        <v>54</v>
      </c>
      <c r="M187" s="46">
        <v>2</v>
      </c>
      <c r="N187" s="47"/>
    </row>
    <row r="188" spans="1:14" x14ac:dyDescent="0.25">
      <c r="A188" s="119"/>
      <c r="B188" s="136" t="s">
        <v>360</v>
      </c>
      <c r="C188" s="119" t="str">
        <f>DEC2HEX(D188)</f>
        <v>24</v>
      </c>
      <c r="D188" s="136">
        <v>36</v>
      </c>
      <c r="E188" s="119">
        <v>7</v>
      </c>
      <c r="F188" s="127" t="s">
        <v>242</v>
      </c>
      <c r="G188" s="127" t="s">
        <v>254</v>
      </c>
      <c r="H188" s="92">
        <v>0</v>
      </c>
      <c r="I188" s="43" t="s">
        <v>393</v>
      </c>
      <c r="J188" s="82" t="s">
        <v>299</v>
      </c>
      <c r="K188" s="43"/>
      <c r="L188" s="43">
        <v>0</v>
      </c>
      <c r="M188" s="43">
        <v>8</v>
      </c>
      <c r="N188" s="45"/>
    </row>
    <row r="189" spans="1:14" x14ac:dyDescent="0.25">
      <c r="A189" s="113"/>
      <c r="B189" s="137"/>
      <c r="C189" s="113"/>
      <c r="D189" s="137"/>
      <c r="E189" s="113"/>
      <c r="F189" s="128"/>
      <c r="G189" s="128"/>
      <c r="H189" s="88">
        <v>1</v>
      </c>
      <c r="I189" s="46" t="s">
        <v>400</v>
      </c>
      <c r="J189" s="83" t="s">
        <v>299</v>
      </c>
      <c r="K189" s="46"/>
      <c r="L189" s="46">
        <f>L188+M188</f>
        <v>8</v>
      </c>
      <c r="M189" s="46">
        <v>8</v>
      </c>
      <c r="N189" s="47"/>
    </row>
    <row r="190" spans="1:14" x14ac:dyDescent="0.25">
      <c r="A190" s="113"/>
      <c r="B190" s="137"/>
      <c r="C190" s="113"/>
      <c r="D190" s="137"/>
      <c r="E190" s="113"/>
      <c r="F190" s="128"/>
      <c r="G190" s="128"/>
      <c r="H190" s="88">
        <v>2</v>
      </c>
      <c r="I190" s="46" t="s">
        <v>334</v>
      </c>
      <c r="J190" s="83" t="s">
        <v>371</v>
      </c>
      <c r="K190" s="46"/>
      <c r="L190" s="46">
        <f t="shared" ref="L190:L193" si="30">L189+M189</f>
        <v>16</v>
      </c>
      <c r="M190" s="46">
        <v>8</v>
      </c>
      <c r="N190" s="47"/>
    </row>
    <row r="191" spans="1:14" x14ac:dyDescent="0.25">
      <c r="A191" s="113"/>
      <c r="B191" s="137"/>
      <c r="C191" s="113"/>
      <c r="D191" s="137"/>
      <c r="E191" s="113"/>
      <c r="F191" s="128"/>
      <c r="G191" s="128"/>
      <c r="H191" s="143">
        <v>3</v>
      </c>
      <c r="I191" s="46" t="s">
        <v>342</v>
      </c>
      <c r="J191" s="83" t="s">
        <v>298</v>
      </c>
      <c r="K191" s="46"/>
      <c r="L191" s="46">
        <f t="shared" si="30"/>
        <v>24</v>
      </c>
      <c r="M191" s="46">
        <v>8</v>
      </c>
      <c r="N191" s="47"/>
    </row>
    <row r="192" spans="1:14" x14ac:dyDescent="0.25">
      <c r="A192" s="113"/>
      <c r="B192" s="137"/>
      <c r="C192" s="113"/>
      <c r="D192" s="137"/>
      <c r="E192" s="113"/>
      <c r="F192" s="128"/>
      <c r="G192" s="128"/>
      <c r="H192" s="143">
        <v>4</v>
      </c>
      <c r="I192" s="46" t="s">
        <v>350</v>
      </c>
      <c r="J192" s="83" t="s">
        <v>298</v>
      </c>
      <c r="K192" s="46"/>
      <c r="L192" s="46">
        <f t="shared" si="30"/>
        <v>32</v>
      </c>
      <c r="M192" s="46">
        <v>8</v>
      </c>
      <c r="N192" s="47"/>
    </row>
    <row r="193" spans="1:14" x14ac:dyDescent="0.25">
      <c r="A193" s="113"/>
      <c r="B193" s="137"/>
      <c r="C193" s="113"/>
      <c r="D193" s="137"/>
      <c r="E193" s="113"/>
      <c r="F193" s="128"/>
      <c r="G193" s="128"/>
      <c r="H193" s="143">
        <v>5</v>
      </c>
      <c r="I193" s="46" t="s">
        <v>416</v>
      </c>
      <c r="J193" s="83" t="s">
        <v>371</v>
      </c>
      <c r="K193" s="46"/>
      <c r="L193" s="46">
        <f t="shared" si="30"/>
        <v>40</v>
      </c>
      <c r="M193" s="46">
        <v>8</v>
      </c>
      <c r="N193" s="47"/>
    </row>
    <row r="194" spans="1:14" x14ac:dyDescent="0.25">
      <c r="A194" s="113"/>
      <c r="B194" s="137"/>
      <c r="C194" s="113"/>
      <c r="D194" s="137"/>
      <c r="E194" s="113"/>
      <c r="F194" s="128"/>
      <c r="G194" s="128"/>
      <c r="H194" s="118">
        <v>6</v>
      </c>
      <c r="I194" s="46" t="s">
        <v>492</v>
      </c>
      <c r="J194" s="83" t="s">
        <v>487</v>
      </c>
      <c r="K194" s="46"/>
      <c r="L194" s="46">
        <f>M193+L193</f>
        <v>48</v>
      </c>
      <c r="M194" s="46">
        <v>6</v>
      </c>
      <c r="N194" s="47"/>
    </row>
    <row r="195" spans="1:14" x14ac:dyDescent="0.25">
      <c r="A195" s="113"/>
      <c r="B195" s="137"/>
      <c r="C195" s="113"/>
      <c r="D195" s="137"/>
      <c r="E195" s="113"/>
      <c r="F195" s="128"/>
      <c r="G195" s="128"/>
      <c r="H195" s="126"/>
      <c r="I195" s="46" t="s">
        <v>368</v>
      </c>
      <c r="J195" s="83" t="s">
        <v>303</v>
      </c>
      <c r="K195" s="46"/>
      <c r="L195" s="46">
        <f>M194+L194</f>
        <v>54</v>
      </c>
      <c r="M195" s="46">
        <v>2</v>
      </c>
      <c r="N195" s="47"/>
    </row>
    <row r="196" spans="1:14" x14ac:dyDescent="0.25">
      <c r="A196" s="119"/>
      <c r="B196" s="136" t="s">
        <v>361</v>
      </c>
      <c r="C196" s="119" t="str">
        <f>DEC2HEX(D196)</f>
        <v>25</v>
      </c>
      <c r="D196" s="136">
        <v>37</v>
      </c>
      <c r="E196" s="119">
        <v>7</v>
      </c>
      <c r="F196" s="127" t="s">
        <v>242</v>
      </c>
      <c r="G196" s="127" t="s">
        <v>255</v>
      </c>
      <c r="H196" s="92">
        <v>0</v>
      </c>
      <c r="I196" s="43" t="s">
        <v>394</v>
      </c>
      <c r="J196" s="82" t="s">
        <v>299</v>
      </c>
      <c r="K196" s="43"/>
      <c r="L196" s="43">
        <v>0</v>
      </c>
      <c r="M196" s="43">
        <v>8</v>
      </c>
      <c r="N196" s="45"/>
    </row>
    <row r="197" spans="1:14" x14ac:dyDescent="0.25">
      <c r="A197" s="113"/>
      <c r="B197" s="137"/>
      <c r="C197" s="113"/>
      <c r="D197" s="137"/>
      <c r="E197" s="113"/>
      <c r="F197" s="128"/>
      <c r="G197" s="128"/>
      <c r="H197" s="88">
        <v>1</v>
      </c>
      <c r="I197" s="46" t="s">
        <v>401</v>
      </c>
      <c r="J197" s="83" t="s">
        <v>299</v>
      </c>
      <c r="K197" s="46"/>
      <c r="L197" s="46">
        <f>L196+M196</f>
        <v>8</v>
      </c>
      <c r="M197" s="46">
        <v>8</v>
      </c>
      <c r="N197" s="47"/>
    </row>
    <row r="198" spans="1:14" x14ac:dyDescent="0.25">
      <c r="A198" s="113"/>
      <c r="B198" s="137"/>
      <c r="C198" s="113"/>
      <c r="D198" s="137"/>
      <c r="E198" s="113"/>
      <c r="F198" s="128"/>
      <c r="G198" s="128"/>
      <c r="H198" s="88">
        <v>2</v>
      </c>
      <c r="I198" s="46" t="s">
        <v>335</v>
      </c>
      <c r="J198" s="83" t="s">
        <v>371</v>
      </c>
      <c r="K198" s="46"/>
      <c r="L198" s="46">
        <f t="shared" ref="L198:L201" si="31">L197+M197</f>
        <v>16</v>
      </c>
      <c r="M198" s="46">
        <v>8</v>
      </c>
      <c r="N198" s="47"/>
    </row>
    <row r="199" spans="1:14" x14ac:dyDescent="0.25">
      <c r="A199" s="113"/>
      <c r="B199" s="137"/>
      <c r="C199" s="113"/>
      <c r="D199" s="137"/>
      <c r="E199" s="113"/>
      <c r="F199" s="128"/>
      <c r="G199" s="128"/>
      <c r="H199" s="143">
        <v>3</v>
      </c>
      <c r="I199" s="46" t="s">
        <v>343</v>
      </c>
      <c r="J199" s="83" t="s">
        <v>298</v>
      </c>
      <c r="K199" s="46"/>
      <c r="L199" s="46">
        <f t="shared" si="31"/>
        <v>24</v>
      </c>
      <c r="M199" s="46">
        <v>8</v>
      </c>
      <c r="N199" s="47"/>
    </row>
    <row r="200" spans="1:14" x14ac:dyDescent="0.25">
      <c r="A200" s="113"/>
      <c r="B200" s="137"/>
      <c r="C200" s="113"/>
      <c r="D200" s="137"/>
      <c r="E200" s="113"/>
      <c r="F200" s="128"/>
      <c r="G200" s="128"/>
      <c r="H200" s="143">
        <v>4</v>
      </c>
      <c r="I200" s="46" t="s">
        <v>351</v>
      </c>
      <c r="J200" s="83" t="s">
        <v>298</v>
      </c>
      <c r="K200" s="46"/>
      <c r="L200" s="46">
        <f t="shared" si="31"/>
        <v>32</v>
      </c>
      <c r="M200" s="46">
        <v>8</v>
      </c>
      <c r="N200" s="47"/>
    </row>
    <row r="201" spans="1:14" x14ac:dyDescent="0.25">
      <c r="A201" s="113"/>
      <c r="B201" s="137"/>
      <c r="C201" s="113"/>
      <c r="D201" s="137"/>
      <c r="E201" s="113"/>
      <c r="F201" s="128"/>
      <c r="G201" s="128"/>
      <c r="H201" s="143">
        <v>5</v>
      </c>
      <c r="I201" s="46" t="s">
        <v>417</v>
      </c>
      <c r="J201" s="83" t="s">
        <v>371</v>
      </c>
      <c r="K201" s="46"/>
      <c r="L201" s="46">
        <f t="shared" si="31"/>
        <v>40</v>
      </c>
      <c r="M201" s="46">
        <v>8</v>
      </c>
      <c r="N201" s="47"/>
    </row>
    <row r="202" spans="1:14" x14ac:dyDescent="0.25">
      <c r="A202" s="113"/>
      <c r="B202" s="137"/>
      <c r="C202" s="113"/>
      <c r="D202" s="137"/>
      <c r="E202" s="113"/>
      <c r="F202" s="128"/>
      <c r="G202" s="128"/>
      <c r="H202" s="118">
        <v>6</v>
      </c>
      <c r="I202" s="46" t="s">
        <v>493</v>
      </c>
      <c r="J202" s="83" t="s">
        <v>487</v>
      </c>
      <c r="K202" s="46"/>
      <c r="L202" s="46">
        <f>M201+L201</f>
        <v>48</v>
      </c>
      <c r="M202" s="46">
        <v>6</v>
      </c>
      <c r="N202" s="47"/>
    </row>
    <row r="203" spans="1:14" x14ac:dyDescent="0.25">
      <c r="A203" s="113"/>
      <c r="B203" s="137"/>
      <c r="C203" s="113"/>
      <c r="D203" s="137"/>
      <c r="E203" s="113"/>
      <c r="F203" s="128"/>
      <c r="G203" s="128"/>
      <c r="H203" s="126"/>
      <c r="I203" s="46" t="s">
        <v>369</v>
      </c>
      <c r="J203" s="83" t="s">
        <v>303</v>
      </c>
      <c r="K203" s="46"/>
      <c r="L203" s="46">
        <f>M202+L202</f>
        <v>54</v>
      </c>
      <c r="M203" s="46">
        <v>2</v>
      </c>
      <c r="N203" s="47"/>
    </row>
    <row r="204" spans="1:14" x14ac:dyDescent="0.25">
      <c r="A204" s="119"/>
      <c r="B204" s="136" t="s">
        <v>362</v>
      </c>
      <c r="C204" s="119" t="str">
        <f>DEC2HEX(D204)</f>
        <v>26</v>
      </c>
      <c r="D204" s="136">
        <v>38</v>
      </c>
      <c r="E204" s="119">
        <v>7</v>
      </c>
      <c r="F204" s="127" t="s">
        <v>242</v>
      </c>
      <c r="G204" s="127" t="s">
        <v>255</v>
      </c>
      <c r="H204" s="92">
        <v>0</v>
      </c>
      <c r="I204" s="43" t="s">
        <v>395</v>
      </c>
      <c r="J204" s="82" t="s">
        <v>299</v>
      </c>
      <c r="K204" s="43"/>
      <c r="L204" s="43">
        <v>0</v>
      </c>
      <c r="M204" s="43">
        <v>8</v>
      </c>
      <c r="N204" s="45"/>
    </row>
    <row r="205" spans="1:14" ht="13.2" customHeight="1" x14ac:dyDescent="0.25">
      <c r="A205" s="113"/>
      <c r="B205" s="137"/>
      <c r="C205" s="113"/>
      <c r="D205" s="137"/>
      <c r="E205" s="113"/>
      <c r="F205" s="128"/>
      <c r="G205" s="128"/>
      <c r="H205" s="88">
        <v>1</v>
      </c>
      <c r="I205" s="46" t="s">
        <v>402</v>
      </c>
      <c r="J205" s="83" t="s">
        <v>299</v>
      </c>
      <c r="K205" s="46"/>
      <c r="L205" s="46">
        <f>L204+M204</f>
        <v>8</v>
      </c>
      <c r="M205" s="46">
        <v>8</v>
      </c>
      <c r="N205" s="47"/>
    </row>
    <row r="206" spans="1:14" x14ac:dyDescent="0.25">
      <c r="A206" s="113"/>
      <c r="B206" s="137"/>
      <c r="C206" s="113"/>
      <c r="D206" s="137"/>
      <c r="E206" s="113"/>
      <c r="F206" s="128"/>
      <c r="G206" s="128"/>
      <c r="H206" s="88">
        <v>2</v>
      </c>
      <c r="I206" s="46" t="s">
        <v>336</v>
      </c>
      <c r="J206" s="83" t="s">
        <v>371</v>
      </c>
      <c r="K206" s="46"/>
      <c r="L206" s="46">
        <f t="shared" ref="L206:L209" si="32">L205+M205</f>
        <v>16</v>
      </c>
      <c r="M206" s="46">
        <v>8</v>
      </c>
      <c r="N206" s="47"/>
    </row>
    <row r="207" spans="1:14" x14ac:dyDescent="0.25">
      <c r="A207" s="113"/>
      <c r="B207" s="137"/>
      <c r="C207" s="113"/>
      <c r="D207" s="137"/>
      <c r="E207" s="113"/>
      <c r="F207" s="128"/>
      <c r="G207" s="128"/>
      <c r="H207" s="143">
        <v>3</v>
      </c>
      <c r="I207" s="46" t="s">
        <v>344</v>
      </c>
      <c r="J207" s="83" t="s">
        <v>298</v>
      </c>
      <c r="K207" s="46"/>
      <c r="L207" s="46">
        <f t="shared" si="32"/>
        <v>24</v>
      </c>
      <c r="M207" s="46">
        <v>8</v>
      </c>
      <c r="N207" s="47"/>
    </row>
    <row r="208" spans="1:14" x14ac:dyDescent="0.25">
      <c r="A208" s="113"/>
      <c r="B208" s="137"/>
      <c r="C208" s="113"/>
      <c r="D208" s="137"/>
      <c r="E208" s="113"/>
      <c r="F208" s="128"/>
      <c r="G208" s="128"/>
      <c r="H208" s="143">
        <v>4</v>
      </c>
      <c r="I208" s="46" t="s">
        <v>352</v>
      </c>
      <c r="J208" s="83" t="s">
        <v>298</v>
      </c>
      <c r="K208" s="46"/>
      <c r="L208" s="46">
        <f t="shared" si="32"/>
        <v>32</v>
      </c>
      <c r="M208" s="46">
        <v>8</v>
      </c>
      <c r="N208" s="47"/>
    </row>
    <row r="209" spans="1:14" x14ac:dyDescent="0.25">
      <c r="A209" s="113"/>
      <c r="B209" s="137"/>
      <c r="C209" s="113"/>
      <c r="D209" s="137"/>
      <c r="E209" s="113"/>
      <c r="F209" s="128"/>
      <c r="G209" s="128"/>
      <c r="H209" s="143">
        <v>5</v>
      </c>
      <c r="I209" s="46" t="s">
        <v>418</v>
      </c>
      <c r="J209" s="83" t="s">
        <v>371</v>
      </c>
      <c r="K209" s="46"/>
      <c r="L209" s="46">
        <f t="shared" si="32"/>
        <v>40</v>
      </c>
      <c r="M209" s="46">
        <v>8</v>
      </c>
      <c r="N209" s="47"/>
    </row>
    <row r="210" spans="1:14" x14ac:dyDescent="0.25">
      <c r="A210" s="113"/>
      <c r="B210" s="137"/>
      <c r="C210" s="113"/>
      <c r="D210" s="137"/>
      <c r="E210" s="113"/>
      <c r="F210" s="128"/>
      <c r="G210" s="128"/>
      <c r="H210" s="118">
        <v>6</v>
      </c>
      <c r="I210" s="46" t="s">
        <v>494</v>
      </c>
      <c r="J210" s="83" t="s">
        <v>487</v>
      </c>
      <c r="K210" s="46"/>
      <c r="L210" s="46">
        <f>M209+L209</f>
        <v>48</v>
      </c>
      <c r="M210" s="46">
        <v>6</v>
      </c>
      <c r="N210" s="47"/>
    </row>
    <row r="211" spans="1:14" x14ac:dyDescent="0.25">
      <c r="A211" s="113"/>
      <c r="B211" s="137"/>
      <c r="C211" s="113"/>
      <c r="D211" s="137"/>
      <c r="E211" s="113"/>
      <c r="F211" s="128"/>
      <c r="G211" s="128"/>
      <c r="H211" s="126"/>
      <c r="I211" s="46" t="s">
        <v>370</v>
      </c>
      <c r="J211" s="83" t="s">
        <v>303</v>
      </c>
      <c r="K211" s="46"/>
      <c r="L211" s="46">
        <f>M210+L210</f>
        <v>54</v>
      </c>
      <c r="M211" s="46">
        <v>2</v>
      </c>
      <c r="N211" s="47"/>
    </row>
    <row r="212" spans="1:14" x14ac:dyDescent="0.25">
      <c r="A212" s="139"/>
      <c r="B212" s="136" t="s">
        <v>509</v>
      </c>
      <c r="C212" s="136" t="str">
        <f>DEC2HEX(D212)</f>
        <v>29</v>
      </c>
      <c r="D212" s="136">
        <v>41</v>
      </c>
      <c r="E212" s="136">
        <v>8</v>
      </c>
      <c r="F212" s="127" t="s">
        <v>241</v>
      </c>
      <c r="G212" s="127" t="s">
        <v>242</v>
      </c>
      <c r="H212" s="92" t="s">
        <v>14</v>
      </c>
      <c r="I212" s="43" t="s">
        <v>503</v>
      </c>
      <c r="J212" s="82"/>
      <c r="K212" s="43"/>
      <c r="L212" s="43">
        <v>0</v>
      </c>
      <c r="M212" s="43">
        <v>16</v>
      </c>
      <c r="N212" s="45"/>
    </row>
    <row r="213" spans="1:14" x14ac:dyDescent="0.25">
      <c r="A213" s="140"/>
      <c r="B213" s="137"/>
      <c r="C213" s="137"/>
      <c r="D213" s="137"/>
      <c r="E213" s="137"/>
      <c r="F213" s="128"/>
      <c r="G213" s="128"/>
      <c r="H213" s="88" t="s">
        <v>17</v>
      </c>
      <c r="I213" s="46" t="s">
        <v>504</v>
      </c>
      <c r="J213" s="83"/>
      <c r="K213" s="46"/>
      <c r="L213" s="46">
        <f>L212+M212</f>
        <v>16</v>
      </c>
      <c r="M213" s="46">
        <v>16</v>
      </c>
      <c r="N213" s="47"/>
    </row>
    <row r="214" spans="1:14" x14ac:dyDescent="0.25">
      <c r="A214" s="140"/>
      <c r="B214" s="137"/>
      <c r="C214" s="137"/>
      <c r="D214" s="137"/>
      <c r="E214" s="137"/>
      <c r="F214" s="128"/>
      <c r="G214" s="128"/>
      <c r="H214" s="90">
        <v>4</v>
      </c>
      <c r="I214" s="46" t="s">
        <v>505</v>
      </c>
      <c r="J214" s="83"/>
      <c r="K214" s="46"/>
      <c r="L214" s="46">
        <f t="shared" ref="L214:L217" si="33">L213+M213</f>
        <v>32</v>
      </c>
      <c r="M214" s="46">
        <v>8</v>
      </c>
      <c r="N214" s="47"/>
    </row>
    <row r="215" spans="1:14" x14ac:dyDescent="0.25">
      <c r="A215" s="140"/>
      <c r="B215" s="137"/>
      <c r="C215" s="137"/>
      <c r="D215" s="137"/>
      <c r="E215" s="137"/>
      <c r="F215" s="128"/>
      <c r="G215" s="128"/>
      <c r="H215" s="90">
        <v>5</v>
      </c>
      <c r="I215" s="46" t="s">
        <v>506</v>
      </c>
      <c r="J215" s="83"/>
      <c r="K215" s="46"/>
      <c r="L215" s="46">
        <f t="shared" si="33"/>
        <v>40</v>
      </c>
      <c r="M215" s="46">
        <v>8</v>
      </c>
      <c r="N215" s="47"/>
    </row>
    <row r="216" spans="1:14" x14ac:dyDescent="0.25">
      <c r="A216" s="140"/>
      <c r="B216" s="137"/>
      <c r="C216" s="137"/>
      <c r="D216" s="137"/>
      <c r="E216" s="137"/>
      <c r="F216" s="128"/>
      <c r="G216" s="128"/>
      <c r="H216" s="90">
        <v>6</v>
      </c>
      <c r="I216" s="46" t="s">
        <v>507</v>
      </c>
      <c r="J216" s="83"/>
      <c r="K216" s="46"/>
      <c r="L216" s="46">
        <f t="shared" si="33"/>
        <v>48</v>
      </c>
      <c r="M216" s="46">
        <v>8</v>
      </c>
      <c r="N216" s="47"/>
    </row>
    <row r="217" spans="1:14" x14ac:dyDescent="0.25">
      <c r="A217" s="141"/>
      <c r="B217" s="138"/>
      <c r="C217" s="138"/>
      <c r="D217" s="138"/>
      <c r="E217" s="138"/>
      <c r="F217" s="129"/>
      <c r="G217" s="129"/>
      <c r="H217" s="91">
        <v>7</v>
      </c>
      <c r="I217" s="49" t="s">
        <v>508</v>
      </c>
      <c r="J217" s="84"/>
      <c r="K217" s="49"/>
      <c r="L217" s="49">
        <f t="shared" si="33"/>
        <v>56</v>
      </c>
      <c r="M217" s="49">
        <v>8</v>
      </c>
      <c r="N217" s="51"/>
    </row>
    <row r="218" spans="1:14" x14ac:dyDescent="0.25">
      <c r="A218" s="139"/>
      <c r="B218" s="136" t="s">
        <v>510</v>
      </c>
      <c r="C218" s="136" t="str">
        <f t="shared" ref="C218" si="34">DEC2HEX(D218)</f>
        <v>2A</v>
      </c>
      <c r="D218" s="136">
        <v>42</v>
      </c>
      <c r="E218" s="136">
        <v>8</v>
      </c>
      <c r="F218" s="127" t="s">
        <v>241</v>
      </c>
      <c r="G218" s="127" t="s">
        <v>242</v>
      </c>
      <c r="H218" s="92" t="s">
        <v>14</v>
      </c>
      <c r="I218" s="43" t="s">
        <v>517</v>
      </c>
      <c r="J218" s="82"/>
      <c r="K218" s="43"/>
      <c r="L218" s="43">
        <v>0</v>
      </c>
      <c r="M218" s="43">
        <v>16</v>
      </c>
      <c r="N218" s="45"/>
    </row>
    <row r="219" spans="1:14" x14ac:dyDescent="0.25">
      <c r="A219" s="140"/>
      <c r="B219" s="137"/>
      <c r="C219" s="137"/>
      <c r="D219" s="137"/>
      <c r="E219" s="137"/>
      <c r="F219" s="128"/>
      <c r="G219" s="128"/>
      <c r="H219" s="88" t="s">
        <v>17</v>
      </c>
      <c r="I219" s="46" t="s">
        <v>518</v>
      </c>
      <c r="J219" s="83"/>
      <c r="K219" s="46"/>
      <c r="L219" s="46">
        <f>L218+M218</f>
        <v>16</v>
      </c>
      <c r="M219" s="46">
        <v>16</v>
      </c>
      <c r="N219" s="47"/>
    </row>
    <row r="220" spans="1:14" x14ac:dyDescent="0.25">
      <c r="A220" s="140"/>
      <c r="B220" s="137"/>
      <c r="C220" s="137"/>
      <c r="D220" s="137"/>
      <c r="E220" s="137"/>
      <c r="F220" s="128"/>
      <c r="G220" s="128"/>
      <c r="H220" s="90">
        <v>4</v>
      </c>
      <c r="I220" s="46" t="s">
        <v>519</v>
      </c>
      <c r="J220" s="83"/>
      <c r="K220" s="46"/>
      <c r="L220" s="46">
        <f t="shared" ref="L220:L223" si="35">L219+M219</f>
        <v>32</v>
      </c>
      <c r="M220" s="46">
        <v>8</v>
      </c>
      <c r="N220" s="47"/>
    </row>
    <row r="221" spans="1:14" x14ac:dyDescent="0.25">
      <c r="A221" s="140"/>
      <c r="B221" s="137"/>
      <c r="C221" s="137"/>
      <c r="D221" s="137"/>
      <c r="E221" s="137"/>
      <c r="F221" s="128"/>
      <c r="G221" s="128"/>
      <c r="H221" s="90">
        <v>5</v>
      </c>
      <c r="I221" s="46" t="s">
        <v>520</v>
      </c>
      <c r="J221" s="83"/>
      <c r="K221" s="46"/>
      <c r="L221" s="46">
        <f t="shared" si="35"/>
        <v>40</v>
      </c>
      <c r="M221" s="46">
        <v>8</v>
      </c>
      <c r="N221" s="47"/>
    </row>
    <row r="222" spans="1:14" x14ac:dyDescent="0.25">
      <c r="A222" s="140"/>
      <c r="B222" s="137"/>
      <c r="C222" s="137"/>
      <c r="D222" s="137"/>
      <c r="E222" s="137"/>
      <c r="F222" s="128"/>
      <c r="G222" s="128"/>
      <c r="H222" s="90">
        <v>6</v>
      </c>
      <c r="I222" s="46" t="s">
        <v>521</v>
      </c>
      <c r="J222" s="83"/>
      <c r="K222" s="46"/>
      <c r="L222" s="46">
        <f t="shared" si="35"/>
        <v>48</v>
      </c>
      <c r="M222" s="46">
        <v>8</v>
      </c>
      <c r="N222" s="47"/>
    </row>
    <row r="223" spans="1:14" x14ac:dyDescent="0.25">
      <c r="A223" s="141"/>
      <c r="B223" s="138"/>
      <c r="C223" s="138"/>
      <c r="D223" s="138"/>
      <c r="E223" s="138"/>
      <c r="F223" s="129"/>
      <c r="G223" s="129"/>
      <c r="H223" s="91">
        <v>7</v>
      </c>
      <c r="I223" s="49" t="s">
        <v>522</v>
      </c>
      <c r="J223" s="84"/>
      <c r="K223" s="49"/>
      <c r="L223" s="49">
        <f t="shared" si="35"/>
        <v>56</v>
      </c>
      <c r="M223" s="49">
        <v>8</v>
      </c>
      <c r="N223" s="51"/>
    </row>
    <row r="224" spans="1:14" x14ac:dyDescent="0.25">
      <c r="A224" s="139"/>
      <c r="B224" s="136" t="s">
        <v>511</v>
      </c>
      <c r="C224" s="136" t="str">
        <f t="shared" ref="C224" si="36">DEC2HEX(D224)</f>
        <v>2B</v>
      </c>
      <c r="D224" s="136">
        <v>43</v>
      </c>
      <c r="E224" s="136">
        <v>8</v>
      </c>
      <c r="F224" s="127" t="s">
        <v>241</v>
      </c>
      <c r="G224" s="127" t="s">
        <v>242</v>
      </c>
      <c r="H224" s="92" t="s">
        <v>14</v>
      </c>
      <c r="I224" s="43" t="s">
        <v>523</v>
      </c>
      <c r="J224" s="82"/>
      <c r="K224" s="43"/>
      <c r="L224" s="43">
        <v>0</v>
      </c>
      <c r="M224" s="43">
        <v>16</v>
      </c>
      <c r="N224" s="45"/>
    </row>
    <row r="225" spans="1:14" x14ac:dyDescent="0.25">
      <c r="A225" s="140"/>
      <c r="B225" s="137"/>
      <c r="C225" s="137"/>
      <c r="D225" s="137"/>
      <c r="E225" s="137"/>
      <c r="F225" s="128"/>
      <c r="G225" s="128"/>
      <c r="H225" s="88" t="s">
        <v>17</v>
      </c>
      <c r="I225" s="46" t="s">
        <v>524</v>
      </c>
      <c r="J225" s="83"/>
      <c r="K225" s="46"/>
      <c r="L225" s="46">
        <f>L224+M224</f>
        <v>16</v>
      </c>
      <c r="M225" s="46">
        <v>16</v>
      </c>
      <c r="N225" s="47"/>
    </row>
    <row r="226" spans="1:14" x14ac:dyDescent="0.25">
      <c r="A226" s="140"/>
      <c r="B226" s="137"/>
      <c r="C226" s="137"/>
      <c r="D226" s="137"/>
      <c r="E226" s="137"/>
      <c r="F226" s="128"/>
      <c r="G226" s="128"/>
      <c r="H226" s="90">
        <v>4</v>
      </c>
      <c r="I226" s="46" t="s">
        <v>525</v>
      </c>
      <c r="J226" s="83"/>
      <c r="K226" s="46"/>
      <c r="L226" s="46">
        <f t="shared" ref="L226:L229" si="37">L225+M225</f>
        <v>32</v>
      </c>
      <c r="M226" s="46">
        <v>8</v>
      </c>
      <c r="N226" s="47"/>
    </row>
    <row r="227" spans="1:14" x14ac:dyDescent="0.25">
      <c r="A227" s="140"/>
      <c r="B227" s="137"/>
      <c r="C227" s="137"/>
      <c r="D227" s="137"/>
      <c r="E227" s="137"/>
      <c r="F227" s="128"/>
      <c r="G227" s="128"/>
      <c r="H227" s="90">
        <v>5</v>
      </c>
      <c r="I227" s="46" t="s">
        <v>526</v>
      </c>
      <c r="J227" s="83"/>
      <c r="K227" s="46"/>
      <c r="L227" s="46">
        <f t="shared" si="37"/>
        <v>40</v>
      </c>
      <c r="M227" s="46">
        <v>8</v>
      </c>
      <c r="N227" s="47"/>
    </row>
    <row r="228" spans="1:14" x14ac:dyDescent="0.25">
      <c r="A228" s="140"/>
      <c r="B228" s="137"/>
      <c r="C228" s="137"/>
      <c r="D228" s="137"/>
      <c r="E228" s="137"/>
      <c r="F228" s="128"/>
      <c r="G228" s="128"/>
      <c r="H228" s="90">
        <v>6</v>
      </c>
      <c r="I228" s="46" t="s">
        <v>527</v>
      </c>
      <c r="J228" s="83"/>
      <c r="K228" s="46"/>
      <c r="L228" s="46">
        <f t="shared" si="37"/>
        <v>48</v>
      </c>
      <c r="M228" s="46">
        <v>8</v>
      </c>
      <c r="N228" s="47"/>
    </row>
    <row r="229" spans="1:14" x14ac:dyDescent="0.25">
      <c r="A229" s="141"/>
      <c r="B229" s="138"/>
      <c r="C229" s="138"/>
      <c r="D229" s="138"/>
      <c r="E229" s="138"/>
      <c r="F229" s="129"/>
      <c r="G229" s="129"/>
      <c r="H229" s="91">
        <v>7</v>
      </c>
      <c r="I229" s="49" t="s">
        <v>528</v>
      </c>
      <c r="J229" s="84"/>
      <c r="K229" s="49"/>
      <c r="L229" s="49">
        <f t="shared" si="37"/>
        <v>56</v>
      </c>
      <c r="M229" s="49">
        <v>8</v>
      </c>
      <c r="N229" s="51"/>
    </row>
    <row r="230" spans="1:14" x14ac:dyDescent="0.25">
      <c r="A230" s="139"/>
      <c r="B230" s="136" t="s">
        <v>512</v>
      </c>
      <c r="C230" s="136" t="str">
        <f t="shared" ref="C230" si="38">DEC2HEX(D230)</f>
        <v>2C</v>
      </c>
      <c r="D230" s="136">
        <v>44</v>
      </c>
      <c r="E230" s="136">
        <v>8</v>
      </c>
      <c r="F230" s="127" t="s">
        <v>241</v>
      </c>
      <c r="G230" s="127" t="s">
        <v>242</v>
      </c>
      <c r="H230" s="92" t="s">
        <v>14</v>
      </c>
      <c r="I230" s="43" t="s">
        <v>529</v>
      </c>
      <c r="J230" s="82"/>
      <c r="K230" s="43"/>
      <c r="L230" s="43">
        <v>0</v>
      </c>
      <c r="M230" s="43">
        <v>16</v>
      </c>
      <c r="N230" s="45"/>
    </row>
    <row r="231" spans="1:14" x14ac:dyDescent="0.25">
      <c r="A231" s="140"/>
      <c r="B231" s="137"/>
      <c r="C231" s="137"/>
      <c r="D231" s="137"/>
      <c r="E231" s="137"/>
      <c r="F231" s="128"/>
      <c r="G231" s="128"/>
      <c r="H231" s="88" t="s">
        <v>17</v>
      </c>
      <c r="I231" s="46" t="s">
        <v>530</v>
      </c>
      <c r="J231" s="83"/>
      <c r="K231" s="46"/>
      <c r="L231" s="46">
        <f>L230+M230</f>
        <v>16</v>
      </c>
      <c r="M231" s="46">
        <v>16</v>
      </c>
      <c r="N231" s="47"/>
    </row>
    <row r="232" spans="1:14" x14ac:dyDescent="0.25">
      <c r="A232" s="140"/>
      <c r="B232" s="137"/>
      <c r="C232" s="137"/>
      <c r="D232" s="137"/>
      <c r="E232" s="137"/>
      <c r="F232" s="128"/>
      <c r="G232" s="128"/>
      <c r="H232" s="90">
        <v>4</v>
      </c>
      <c r="I232" s="46" t="s">
        <v>531</v>
      </c>
      <c r="J232" s="83"/>
      <c r="K232" s="46"/>
      <c r="L232" s="46">
        <f t="shared" ref="L232:L235" si="39">L231+M231</f>
        <v>32</v>
      </c>
      <c r="M232" s="46">
        <v>8</v>
      </c>
      <c r="N232" s="47"/>
    </row>
    <row r="233" spans="1:14" x14ac:dyDescent="0.25">
      <c r="A233" s="140"/>
      <c r="B233" s="137"/>
      <c r="C233" s="137"/>
      <c r="D233" s="137"/>
      <c r="E233" s="137"/>
      <c r="F233" s="128"/>
      <c r="G233" s="128"/>
      <c r="H233" s="90">
        <v>5</v>
      </c>
      <c r="I233" s="46" t="s">
        <v>532</v>
      </c>
      <c r="J233" s="83"/>
      <c r="K233" s="46"/>
      <c r="L233" s="46">
        <f t="shared" si="39"/>
        <v>40</v>
      </c>
      <c r="M233" s="46">
        <v>8</v>
      </c>
      <c r="N233" s="47"/>
    </row>
    <row r="234" spans="1:14" x14ac:dyDescent="0.25">
      <c r="A234" s="140"/>
      <c r="B234" s="137"/>
      <c r="C234" s="137"/>
      <c r="D234" s="137"/>
      <c r="E234" s="137"/>
      <c r="F234" s="128"/>
      <c r="G234" s="128"/>
      <c r="H234" s="90">
        <v>6</v>
      </c>
      <c r="I234" s="46" t="s">
        <v>533</v>
      </c>
      <c r="J234" s="83"/>
      <c r="K234" s="46"/>
      <c r="L234" s="46">
        <f t="shared" si="39"/>
        <v>48</v>
      </c>
      <c r="M234" s="46">
        <v>8</v>
      </c>
      <c r="N234" s="47"/>
    </row>
    <row r="235" spans="1:14" x14ac:dyDescent="0.25">
      <c r="A235" s="141"/>
      <c r="B235" s="138"/>
      <c r="C235" s="138"/>
      <c r="D235" s="138"/>
      <c r="E235" s="138"/>
      <c r="F235" s="129"/>
      <c r="G235" s="129"/>
      <c r="H235" s="91">
        <v>7</v>
      </c>
      <c r="I235" s="49" t="s">
        <v>534</v>
      </c>
      <c r="J235" s="84"/>
      <c r="K235" s="49"/>
      <c r="L235" s="49">
        <f t="shared" si="39"/>
        <v>56</v>
      </c>
      <c r="M235" s="49">
        <v>8</v>
      </c>
      <c r="N235" s="51"/>
    </row>
    <row r="236" spans="1:14" x14ac:dyDescent="0.25">
      <c r="A236" s="139"/>
      <c r="B236" s="136" t="s">
        <v>513</v>
      </c>
      <c r="C236" s="136" t="str">
        <f t="shared" ref="C236" si="40">DEC2HEX(D236)</f>
        <v>2D</v>
      </c>
      <c r="D236" s="136">
        <v>45</v>
      </c>
      <c r="E236" s="136">
        <v>8</v>
      </c>
      <c r="F236" s="127" t="s">
        <v>241</v>
      </c>
      <c r="G236" s="127" t="s">
        <v>242</v>
      </c>
      <c r="H236" s="92" t="s">
        <v>14</v>
      </c>
      <c r="I236" s="43" t="s">
        <v>535</v>
      </c>
      <c r="J236" s="82"/>
      <c r="K236" s="43"/>
      <c r="L236" s="43">
        <v>0</v>
      </c>
      <c r="M236" s="43">
        <v>16</v>
      </c>
      <c r="N236" s="45"/>
    </row>
    <row r="237" spans="1:14" x14ac:dyDescent="0.25">
      <c r="A237" s="140"/>
      <c r="B237" s="137"/>
      <c r="C237" s="137"/>
      <c r="D237" s="137"/>
      <c r="E237" s="137"/>
      <c r="F237" s="128"/>
      <c r="G237" s="128"/>
      <c r="H237" s="88" t="s">
        <v>17</v>
      </c>
      <c r="I237" s="46" t="s">
        <v>536</v>
      </c>
      <c r="J237" s="83"/>
      <c r="K237" s="46"/>
      <c r="L237" s="46">
        <f>L236+M236</f>
        <v>16</v>
      </c>
      <c r="M237" s="46">
        <v>16</v>
      </c>
      <c r="N237" s="47"/>
    </row>
    <row r="238" spans="1:14" x14ac:dyDescent="0.25">
      <c r="A238" s="140"/>
      <c r="B238" s="137"/>
      <c r="C238" s="137"/>
      <c r="D238" s="137"/>
      <c r="E238" s="137"/>
      <c r="F238" s="128"/>
      <c r="G238" s="128"/>
      <c r="H238" s="90">
        <v>4</v>
      </c>
      <c r="I238" s="46" t="s">
        <v>537</v>
      </c>
      <c r="J238" s="83"/>
      <c r="K238" s="46"/>
      <c r="L238" s="46">
        <f t="shared" ref="L238:L241" si="41">L237+M237</f>
        <v>32</v>
      </c>
      <c r="M238" s="46">
        <v>8</v>
      </c>
      <c r="N238" s="47"/>
    </row>
    <row r="239" spans="1:14" x14ac:dyDescent="0.25">
      <c r="A239" s="140"/>
      <c r="B239" s="137"/>
      <c r="C239" s="137"/>
      <c r="D239" s="137"/>
      <c r="E239" s="137"/>
      <c r="F239" s="128"/>
      <c r="G239" s="128"/>
      <c r="H239" s="90">
        <v>5</v>
      </c>
      <c r="I239" s="46" t="s">
        <v>538</v>
      </c>
      <c r="J239" s="83"/>
      <c r="K239" s="46"/>
      <c r="L239" s="46">
        <f t="shared" si="41"/>
        <v>40</v>
      </c>
      <c r="M239" s="46">
        <v>8</v>
      </c>
      <c r="N239" s="47"/>
    </row>
    <row r="240" spans="1:14" x14ac:dyDescent="0.25">
      <c r="A240" s="140"/>
      <c r="B240" s="137"/>
      <c r="C240" s="137"/>
      <c r="D240" s="137"/>
      <c r="E240" s="137"/>
      <c r="F240" s="128"/>
      <c r="G240" s="128"/>
      <c r="H240" s="90">
        <v>6</v>
      </c>
      <c r="I240" s="46" t="s">
        <v>539</v>
      </c>
      <c r="J240" s="83"/>
      <c r="K240" s="46"/>
      <c r="L240" s="46">
        <f t="shared" si="41"/>
        <v>48</v>
      </c>
      <c r="M240" s="46">
        <v>8</v>
      </c>
      <c r="N240" s="47"/>
    </row>
    <row r="241" spans="1:14" x14ac:dyDescent="0.25">
      <c r="A241" s="141"/>
      <c r="B241" s="138"/>
      <c r="C241" s="138"/>
      <c r="D241" s="138"/>
      <c r="E241" s="138"/>
      <c r="F241" s="129"/>
      <c r="G241" s="129"/>
      <c r="H241" s="91">
        <v>7</v>
      </c>
      <c r="I241" s="49" t="s">
        <v>540</v>
      </c>
      <c r="J241" s="84"/>
      <c r="K241" s="49"/>
      <c r="L241" s="49">
        <f t="shared" si="41"/>
        <v>56</v>
      </c>
      <c r="M241" s="49">
        <v>8</v>
      </c>
      <c r="N241" s="51"/>
    </row>
    <row r="242" spans="1:14" x14ac:dyDescent="0.25">
      <c r="A242" s="139"/>
      <c r="B242" s="136" t="s">
        <v>514</v>
      </c>
      <c r="C242" s="136" t="str">
        <f t="shared" ref="C242" si="42">DEC2HEX(D242)</f>
        <v>2E</v>
      </c>
      <c r="D242" s="136">
        <v>46</v>
      </c>
      <c r="E242" s="136">
        <v>8</v>
      </c>
      <c r="F242" s="127" t="s">
        <v>241</v>
      </c>
      <c r="G242" s="127" t="s">
        <v>242</v>
      </c>
      <c r="H242" s="92" t="s">
        <v>14</v>
      </c>
      <c r="I242" s="43" t="s">
        <v>541</v>
      </c>
      <c r="J242" s="82"/>
      <c r="K242" s="43"/>
      <c r="L242" s="43">
        <v>0</v>
      </c>
      <c r="M242" s="43">
        <v>16</v>
      </c>
      <c r="N242" s="45"/>
    </row>
    <row r="243" spans="1:14" x14ac:dyDescent="0.25">
      <c r="A243" s="140"/>
      <c r="B243" s="137"/>
      <c r="C243" s="137"/>
      <c r="D243" s="137"/>
      <c r="E243" s="137"/>
      <c r="F243" s="128"/>
      <c r="G243" s="128"/>
      <c r="H243" s="88" t="s">
        <v>17</v>
      </c>
      <c r="I243" s="46" t="s">
        <v>542</v>
      </c>
      <c r="J243" s="83"/>
      <c r="K243" s="46"/>
      <c r="L243" s="46">
        <f>L242+M242</f>
        <v>16</v>
      </c>
      <c r="M243" s="46">
        <v>16</v>
      </c>
      <c r="N243" s="47"/>
    </row>
    <row r="244" spans="1:14" x14ac:dyDescent="0.25">
      <c r="A244" s="140"/>
      <c r="B244" s="137"/>
      <c r="C244" s="137"/>
      <c r="D244" s="137"/>
      <c r="E244" s="137"/>
      <c r="F244" s="128"/>
      <c r="G244" s="128"/>
      <c r="H244" s="90">
        <v>4</v>
      </c>
      <c r="I244" s="46" t="s">
        <v>543</v>
      </c>
      <c r="J244" s="83"/>
      <c r="K244" s="46"/>
      <c r="L244" s="46">
        <f t="shared" ref="L244:L247" si="43">L243+M243</f>
        <v>32</v>
      </c>
      <c r="M244" s="46">
        <v>8</v>
      </c>
      <c r="N244" s="47"/>
    </row>
    <row r="245" spans="1:14" x14ac:dyDescent="0.25">
      <c r="A245" s="140"/>
      <c r="B245" s="137"/>
      <c r="C245" s="137"/>
      <c r="D245" s="137"/>
      <c r="E245" s="137"/>
      <c r="F245" s="128"/>
      <c r="G245" s="128"/>
      <c r="H245" s="90">
        <v>5</v>
      </c>
      <c r="I245" s="46" t="s">
        <v>544</v>
      </c>
      <c r="J245" s="83"/>
      <c r="K245" s="46"/>
      <c r="L245" s="46">
        <f t="shared" si="43"/>
        <v>40</v>
      </c>
      <c r="M245" s="46">
        <v>8</v>
      </c>
      <c r="N245" s="47"/>
    </row>
    <row r="246" spans="1:14" x14ac:dyDescent="0.25">
      <c r="A246" s="140"/>
      <c r="B246" s="137"/>
      <c r="C246" s="137"/>
      <c r="D246" s="137"/>
      <c r="E246" s="137"/>
      <c r="F246" s="128"/>
      <c r="G246" s="128"/>
      <c r="H246" s="90">
        <v>6</v>
      </c>
      <c r="I246" s="46" t="s">
        <v>545</v>
      </c>
      <c r="J246" s="83"/>
      <c r="K246" s="46"/>
      <c r="L246" s="46">
        <f t="shared" si="43"/>
        <v>48</v>
      </c>
      <c r="M246" s="46">
        <v>8</v>
      </c>
      <c r="N246" s="47"/>
    </row>
    <row r="247" spans="1:14" x14ac:dyDescent="0.25">
      <c r="A247" s="141"/>
      <c r="B247" s="138"/>
      <c r="C247" s="138"/>
      <c r="D247" s="138"/>
      <c r="E247" s="138"/>
      <c r="F247" s="129"/>
      <c r="G247" s="129"/>
      <c r="H247" s="91">
        <v>7</v>
      </c>
      <c r="I247" s="49" t="s">
        <v>546</v>
      </c>
      <c r="J247" s="84"/>
      <c r="K247" s="49"/>
      <c r="L247" s="49">
        <f t="shared" si="43"/>
        <v>56</v>
      </c>
      <c r="M247" s="49">
        <v>8</v>
      </c>
      <c r="N247" s="51"/>
    </row>
    <row r="248" spans="1:14" x14ac:dyDescent="0.25">
      <c r="A248" s="139"/>
      <c r="B248" s="136" t="s">
        <v>515</v>
      </c>
      <c r="C248" s="136" t="str">
        <f t="shared" ref="C248" si="44">DEC2HEX(D248)</f>
        <v>2F</v>
      </c>
      <c r="D248" s="136">
        <v>47</v>
      </c>
      <c r="E248" s="136">
        <v>8</v>
      </c>
      <c r="F248" s="127" t="s">
        <v>241</v>
      </c>
      <c r="G248" s="127" t="s">
        <v>242</v>
      </c>
      <c r="H248" s="92" t="s">
        <v>14</v>
      </c>
      <c r="I248" s="43" t="s">
        <v>547</v>
      </c>
      <c r="J248" s="82"/>
      <c r="K248" s="43"/>
      <c r="L248" s="43">
        <v>0</v>
      </c>
      <c r="M248" s="43">
        <v>16</v>
      </c>
      <c r="N248" s="45"/>
    </row>
    <row r="249" spans="1:14" x14ac:dyDescent="0.25">
      <c r="A249" s="140"/>
      <c r="B249" s="137"/>
      <c r="C249" s="137"/>
      <c r="D249" s="137"/>
      <c r="E249" s="137"/>
      <c r="F249" s="128"/>
      <c r="G249" s="128"/>
      <c r="H249" s="88" t="s">
        <v>17</v>
      </c>
      <c r="I249" s="46" t="s">
        <v>548</v>
      </c>
      <c r="J249" s="83"/>
      <c r="K249" s="46"/>
      <c r="L249" s="46">
        <f>L248+M248</f>
        <v>16</v>
      </c>
      <c r="M249" s="46">
        <v>16</v>
      </c>
      <c r="N249" s="47"/>
    </row>
    <row r="250" spans="1:14" x14ac:dyDescent="0.25">
      <c r="A250" s="140"/>
      <c r="B250" s="137"/>
      <c r="C250" s="137"/>
      <c r="D250" s="137"/>
      <c r="E250" s="137"/>
      <c r="F250" s="128"/>
      <c r="G250" s="128"/>
      <c r="H250" s="90">
        <v>4</v>
      </c>
      <c r="I250" s="46" t="s">
        <v>549</v>
      </c>
      <c r="J250" s="83"/>
      <c r="K250" s="46"/>
      <c r="L250" s="46">
        <f t="shared" ref="L250:L253" si="45">L249+M249</f>
        <v>32</v>
      </c>
      <c r="M250" s="46">
        <v>8</v>
      </c>
      <c r="N250" s="47"/>
    </row>
    <row r="251" spans="1:14" x14ac:dyDescent="0.25">
      <c r="A251" s="140"/>
      <c r="B251" s="137"/>
      <c r="C251" s="137"/>
      <c r="D251" s="137"/>
      <c r="E251" s="137"/>
      <c r="F251" s="128"/>
      <c r="G251" s="128"/>
      <c r="H251" s="90">
        <v>5</v>
      </c>
      <c r="I251" s="46" t="s">
        <v>550</v>
      </c>
      <c r="J251" s="83"/>
      <c r="K251" s="46"/>
      <c r="L251" s="46">
        <f t="shared" si="45"/>
        <v>40</v>
      </c>
      <c r="M251" s="46">
        <v>8</v>
      </c>
      <c r="N251" s="47"/>
    </row>
    <row r="252" spans="1:14" x14ac:dyDescent="0.25">
      <c r="A252" s="140"/>
      <c r="B252" s="137"/>
      <c r="C252" s="137"/>
      <c r="D252" s="137"/>
      <c r="E252" s="137"/>
      <c r="F252" s="128"/>
      <c r="G252" s="128"/>
      <c r="H252" s="90">
        <v>6</v>
      </c>
      <c r="I252" s="46" t="s">
        <v>551</v>
      </c>
      <c r="J252" s="83"/>
      <c r="K252" s="46"/>
      <c r="L252" s="46">
        <f t="shared" si="45"/>
        <v>48</v>
      </c>
      <c r="M252" s="46">
        <v>8</v>
      </c>
      <c r="N252" s="47"/>
    </row>
    <row r="253" spans="1:14" x14ac:dyDescent="0.25">
      <c r="A253" s="141"/>
      <c r="B253" s="138"/>
      <c r="C253" s="138"/>
      <c r="D253" s="138"/>
      <c r="E253" s="138"/>
      <c r="F253" s="129"/>
      <c r="G253" s="129"/>
      <c r="H253" s="91">
        <v>7</v>
      </c>
      <c r="I253" s="49" t="s">
        <v>552</v>
      </c>
      <c r="J253" s="84"/>
      <c r="K253" s="49"/>
      <c r="L253" s="49">
        <f t="shared" si="45"/>
        <v>56</v>
      </c>
      <c r="M253" s="49">
        <v>8</v>
      </c>
      <c r="N253" s="51"/>
    </row>
    <row r="254" spans="1:14" x14ac:dyDescent="0.25">
      <c r="A254" s="139"/>
      <c r="B254" s="136" t="s">
        <v>516</v>
      </c>
      <c r="C254" s="136" t="str">
        <f t="shared" ref="C254" si="46">DEC2HEX(D254)</f>
        <v>30</v>
      </c>
      <c r="D254" s="136">
        <v>48</v>
      </c>
      <c r="E254" s="136">
        <v>8</v>
      </c>
      <c r="F254" s="127" t="s">
        <v>241</v>
      </c>
      <c r="G254" s="127" t="s">
        <v>242</v>
      </c>
      <c r="H254" s="92" t="s">
        <v>14</v>
      </c>
      <c r="I254" s="43" t="s">
        <v>553</v>
      </c>
      <c r="J254" s="82"/>
      <c r="K254" s="43"/>
      <c r="L254" s="43">
        <v>0</v>
      </c>
      <c r="M254" s="43">
        <v>16</v>
      </c>
      <c r="N254" s="45"/>
    </row>
    <row r="255" spans="1:14" x14ac:dyDescent="0.25">
      <c r="A255" s="140"/>
      <c r="B255" s="137"/>
      <c r="C255" s="137"/>
      <c r="D255" s="137"/>
      <c r="E255" s="137"/>
      <c r="F255" s="128"/>
      <c r="G255" s="128"/>
      <c r="H255" s="88" t="s">
        <v>17</v>
      </c>
      <c r="I255" s="46" t="s">
        <v>554</v>
      </c>
      <c r="J255" s="83"/>
      <c r="K255" s="46"/>
      <c r="L255" s="46">
        <f>L254+M254</f>
        <v>16</v>
      </c>
      <c r="M255" s="46">
        <v>16</v>
      </c>
      <c r="N255" s="47"/>
    </row>
    <row r="256" spans="1:14" x14ac:dyDescent="0.25">
      <c r="A256" s="140"/>
      <c r="B256" s="137"/>
      <c r="C256" s="137"/>
      <c r="D256" s="137"/>
      <c r="E256" s="137"/>
      <c r="F256" s="128"/>
      <c r="G256" s="128"/>
      <c r="H256" s="90">
        <v>4</v>
      </c>
      <c r="I256" s="46" t="s">
        <v>555</v>
      </c>
      <c r="J256" s="83"/>
      <c r="K256" s="46"/>
      <c r="L256" s="46">
        <f t="shared" ref="L256:L259" si="47">L255+M255</f>
        <v>32</v>
      </c>
      <c r="M256" s="46">
        <v>8</v>
      </c>
      <c r="N256" s="47"/>
    </row>
    <row r="257" spans="1:28" x14ac:dyDescent="0.25">
      <c r="A257" s="140"/>
      <c r="B257" s="137"/>
      <c r="C257" s="137"/>
      <c r="D257" s="137"/>
      <c r="E257" s="137"/>
      <c r="F257" s="128"/>
      <c r="G257" s="128"/>
      <c r="H257" s="90">
        <v>5</v>
      </c>
      <c r="I257" s="46" t="s">
        <v>556</v>
      </c>
      <c r="J257" s="83"/>
      <c r="K257" s="46"/>
      <c r="L257" s="46">
        <f t="shared" si="47"/>
        <v>40</v>
      </c>
      <c r="M257" s="46">
        <v>8</v>
      </c>
      <c r="N257" s="47"/>
    </row>
    <row r="258" spans="1:28" x14ac:dyDescent="0.25">
      <c r="A258" s="140"/>
      <c r="B258" s="137"/>
      <c r="C258" s="137"/>
      <c r="D258" s="137"/>
      <c r="E258" s="137"/>
      <c r="F258" s="128"/>
      <c r="G258" s="128"/>
      <c r="H258" s="90">
        <v>6</v>
      </c>
      <c r="I258" s="46" t="s">
        <v>557</v>
      </c>
      <c r="J258" s="83"/>
      <c r="K258" s="46"/>
      <c r="L258" s="46">
        <f t="shared" si="47"/>
        <v>48</v>
      </c>
      <c r="M258" s="46">
        <v>8</v>
      </c>
      <c r="N258" s="47"/>
    </row>
    <row r="259" spans="1:28" x14ac:dyDescent="0.25">
      <c r="A259" s="141"/>
      <c r="B259" s="138"/>
      <c r="C259" s="138"/>
      <c r="D259" s="138"/>
      <c r="E259" s="138"/>
      <c r="F259" s="129"/>
      <c r="G259" s="129"/>
      <c r="H259" s="91">
        <v>7</v>
      </c>
      <c r="I259" s="49" t="s">
        <v>558</v>
      </c>
      <c r="J259" s="84"/>
      <c r="K259" s="49"/>
      <c r="L259" s="49">
        <f t="shared" si="47"/>
        <v>56</v>
      </c>
      <c r="M259" s="49">
        <v>8</v>
      </c>
      <c r="N259" s="51"/>
    </row>
    <row r="260" spans="1:28" x14ac:dyDescent="0.25">
      <c r="A260" s="136"/>
      <c r="B260" s="119" t="s">
        <v>419</v>
      </c>
      <c r="C260" s="136" t="str">
        <f>DEC2HEX(D260)</f>
        <v>32</v>
      </c>
      <c r="D260" s="136">
        <v>50</v>
      </c>
      <c r="E260" s="136">
        <v>2</v>
      </c>
      <c r="F260" s="127" t="s">
        <v>242</v>
      </c>
      <c r="G260" s="127" t="s">
        <v>241</v>
      </c>
      <c r="H260" s="92">
        <v>0</v>
      </c>
      <c r="I260" s="43" t="s">
        <v>420</v>
      </c>
      <c r="J260" s="82" t="s">
        <v>371</v>
      </c>
      <c r="K260" s="43"/>
      <c r="L260" s="43">
        <v>0</v>
      </c>
      <c r="M260" s="43">
        <v>8</v>
      </c>
      <c r="N260" s="45"/>
    </row>
    <row r="261" spans="1:28" x14ac:dyDescent="0.25">
      <c r="A261" s="137"/>
      <c r="B261" s="113"/>
      <c r="C261" s="137"/>
      <c r="D261" s="137"/>
      <c r="E261" s="137"/>
      <c r="F261" s="128"/>
      <c r="G261" s="128"/>
      <c r="H261" s="118">
        <v>1</v>
      </c>
      <c r="I261" s="46" t="s">
        <v>385</v>
      </c>
      <c r="J261" s="83" t="s">
        <v>303</v>
      </c>
      <c r="K261" s="46"/>
      <c r="L261" s="46">
        <f>L260+M260</f>
        <v>8</v>
      </c>
      <c r="M261" s="46">
        <v>2</v>
      </c>
      <c r="N261" s="47"/>
    </row>
    <row r="262" spans="1:28" x14ac:dyDescent="0.25">
      <c r="A262" s="137"/>
      <c r="B262" s="113"/>
      <c r="C262" s="137"/>
      <c r="D262" s="137"/>
      <c r="E262" s="137"/>
      <c r="F262" s="128"/>
      <c r="G262" s="128"/>
      <c r="H262" s="118"/>
      <c r="I262" s="46" t="s">
        <v>386</v>
      </c>
      <c r="J262" s="83" t="s">
        <v>303</v>
      </c>
      <c r="K262" s="46"/>
      <c r="L262" s="46">
        <f>L261+M261</f>
        <v>10</v>
      </c>
      <c r="M262" s="46">
        <v>2</v>
      </c>
      <c r="N262" s="47"/>
    </row>
    <row r="263" spans="1:28" x14ac:dyDescent="0.25">
      <c r="A263" s="114"/>
      <c r="B263" s="119" t="s">
        <v>379</v>
      </c>
      <c r="C263" s="119" t="str">
        <f>DEC2HEX(D263)</f>
        <v>33</v>
      </c>
      <c r="D263" s="136">
        <v>51</v>
      </c>
      <c r="E263" s="119">
        <v>2</v>
      </c>
      <c r="F263" s="127" t="s">
        <v>241</v>
      </c>
      <c r="G263" s="127" t="s">
        <v>242</v>
      </c>
      <c r="H263" s="92">
        <v>0</v>
      </c>
      <c r="I263" s="43" t="s">
        <v>380</v>
      </c>
      <c r="J263" s="82" t="s">
        <v>421</v>
      </c>
      <c r="K263" s="43"/>
      <c r="L263" s="43">
        <v>0</v>
      </c>
      <c r="M263" s="43">
        <v>8</v>
      </c>
      <c r="N263" s="45"/>
    </row>
    <row r="264" spans="1:28" x14ac:dyDescent="0.25">
      <c r="A264" s="116"/>
      <c r="B264" s="120"/>
      <c r="C264" s="120"/>
      <c r="D264" s="138"/>
      <c r="E264" s="120"/>
      <c r="F264" s="129"/>
      <c r="G264" s="129"/>
      <c r="H264" s="89">
        <v>1</v>
      </c>
      <c r="I264" s="49" t="s">
        <v>381</v>
      </c>
      <c r="J264" s="84" t="s">
        <v>421</v>
      </c>
      <c r="K264" s="49"/>
      <c r="L264" s="49">
        <v>8</v>
      </c>
      <c r="M264" s="49">
        <v>8</v>
      </c>
      <c r="N264" s="51"/>
    </row>
    <row r="265" spans="1:28" ht="13.2" customHeight="1" x14ac:dyDescent="0.25">
      <c r="A265" s="119" t="s">
        <v>101</v>
      </c>
      <c r="B265" s="136" t="s">
        <v>478</v>
      </c>
      <c r="C265" s="119" t="str">
        <f>DEC2HEX(D265)</f>
        <v>3D</v>
      </c>
      <c r="D265" s="136">
        <v>61</v>
      </c>
      <c r="E265" s="119">
        <v>7</v>
      </c>
      <c r="F265" s="127" t="s">
        <v>194</v>
      </c>
      <c r="G265" s="127" t="s">
        <v>242</v>
      </c>
      <c r="H265" s="92">
        <v>0</v>
      </c>
      <c r="I265" s="43" t="s">
        <v>422</v>
      </c>
      <c r="J265" s="82" t="s">
        <v>299</v>
      </c>
      <c r="K265" s="43"/>
      <c r="L265" s="43">
        <v>0</v>
      </c>
      <c r="M265" s="43">
        <v>8</v>
      </c>
      <c r="N265" s="45"/>
      <c r="O265" s="14"/>
      <c r="P265" s="14"/>
      <c r="Q265" s="14"/>
      <c r="R265" s="81"/>
      <c r="S265" s="73"/>
      <c r="T265" s="80"/>
      <c r="U265" s="81"/>
      <c r="V265" s="73"/>
      <c r="W265" s="14"/>
      <c r="X265" s="86"/>
      <c r="Y265" s="14"/>
      <c r="Z265" s="14"/>
      <c r="AA265" s="14"/>
      <c r="AB265" s="14"/>
    </row>
    <row r="266" spans="1:28" x14ac:dyDescent="0.25">
      <c r="A266" s="113"/>
      <c r="B266" s="137"/>
      <c r="C266" s="113"/>
      <c r="D266" s="137"/>
      <c r="E266" s="113"/>
      <c r="F266" s="128"/>
      <c r="G266" s="128"/>
      <c r="H266" s="88">
        <v>1</v>
      </c>
      <c r="I266" s="46" t="s">
        <v>423</v>
      </c>
      <c r="J266" s="83" t="s">
        <v>299</v>
      </c>
      <c r="K266" s="46"/>
      <c r="L266" s="46">
        <f>L265+M265</f>
        <v>8</v>
      </c>
      <c r="M266" s="46">
        <v>8</v>
      </c>
      <c r="N266" s="47"/>
      <c r="O266" s="14"/>
      <c r="P266" s="14"/>
      <c r="Q266" s="14"/>
      <c r="R266" s="81"/>
      <c r="S266" s="73"/>
      <c r="T266" s="80"/>
      <c r="U266" s="81"/>
      <c r="V266" s="73"/>
      <c r="W266" s="14"/>
      <c r="X266" s="86"/>
      <c r="Y266" s="14"/>
      <c r="Z266" s="14"/>
      <c r="AA266" s="14"/>
      <c r="AB266" s="14"/>
    </row>
    <row r="267" spans="1:28" x14ac:dyDescent="0.25">
      <c r="A267" s="113"/>
      <c r="B267" s="137"/>
      <c r="C267" s="113"/>
      <c r="D267" s="137"/>
      <c r="E267" s="113"/>
      <c r="F267" s="128"/>
      <c r="G267" s="128"/>
      <c r="H267" s="88">
        <v>2</v>
      </c>
      <c r="I267" s="46" t="s">
        <v>424</v>
      </c>
      <c r="J267" s="83" t="s">
        <v>371</v>
      </c>
      <c r="K267" s="46"/>
      <c r="L267" s="46">
        <f t="shared" ref="L267:L270" si="48">L266+M266</f>
        <v>16</v>
      </c>
      <c r="M267" s="46">
        <v>8</v>
      </c>
      <c r="N267" s="47"/>
      <c r="O267" s="14"/>
      <c r="P267" s="14"/>
      <c r="Q267" s="14"/>
      <c r="R267" s="81"/>
      <c r="S267" s="73"/>
      <c r="T267" s="80"/>
      <c r="U267" s="81"/>
      <c r="V267" s="73"/>
      <c r="W267" s="14"/>
      <c r="X267" s="86"/>
      <c r="Y267" s="14"/>
      <c r="Z267" s="14"/>
      <c r="AA267" s="14"/>
      <c r="AB267" s="14"/>
    </row>
    <row r="268" spans="1:28" x14ac:dyDescent="0.25">
      <c r="A268" s="113"/>
      <c r="B268" s="137"/>
      <c r="C268" s="113"/>
      <c r="D268" s="137"/>
      <c r="E268" s="113"/>
      <c r="F268" s="128"/>
      <c r="G268" s="128"/>
      <c r="H268" s="143">
        <v>3</v>
      </c>
      <c r="I268" s="46" t="s">
        <v>425</v>
      </c>
      <c r="J268" s="83" t="s">
        <v>298</v>
      </c>
      <c r="K268" s="46"/>
      <c r="L268" s="46">
        <f t="shared" si="48"/>
        <v>24</v>
      </c>
      <c r="M268" s="46">
        <v>8</v>
      </c>
      <c r="N268" s="47"/>
      <c r="O268" s="14"/>
      <c r="P268" s="14"/>
      <c r="Q268" s="14"/>
      <c r="R268" s="81"/>
      <c r="S268" s="73"/>
      <c r="T268" s="80"/>
      <c r="U268" s="81"/>
      <c r="V268" s="73"/>
      <c r="W268" s="14"/>
      <c r="X268" s="86"/>
      <c r="Y268" s="14"/>
      <c r="Z268" s="14"/>
      <c r="AA268" s="14"/>
      <c r="AB268" s="14"/>
    </row>
    <row r="269" spans="1:28" x14ac:dyDescent="0.25">
      <c r="A269" s="113"/>
      <c r="B269" s="137"/>
      <c r="C269" s="113"/>
      <c r="D269" s="137"/>
      <c r="E269" s="113"/>
      <c r="F269" s="128"/>
      <c r="G269" s="128"/>
      <c r="H269" s="143">
        <v>4</v>
      </c>
      <c r="I269" s="46" t="s">
        <v>426</v>
      </c>
      <c r="J269" s="83" t="s">
        <v>298</v>
      </c>
      <c r="K269" s="46"/>
      <c r="L269" s="46">
        <f t="shared" si="48"/>
        <v>32</v>
      </c>
      <c r="M269" s="46">
        <v>8</v>
      </c>
      <c r="N269" s="47"/>
      <c r="O269" s="14"/>
      <c r="P269" s="14"/>
      <c r="Q269" s="14"/>
      <c r="R269" s="81"/>
      <c r="S269" s="73"/>
      <c r="T269" s="80"/>
      <c r="U269" s="81"/>
      <c r="V269" s="73"/>
      <c r="W269" s="14"/>
      <c r="X269" s="86"/>
      <c r="Y269" s="14"/>
      <c r="Z269" s="14"/>
      <c r="AA269" s="14"/>
      <c r="AB269" s="14"/>
    </row>
    <row r="270" spans="1:28" x14ac:dyDescent="0.25">
      <c r="A270" s="113"/>
      <c r="B270" s="137"/>
      <c r="C270" s="113"/>
      <c r="D270" s="137"/>
      <c r="E270" s="113"/>
      <c r="F270" s="128"/>
      <c r="G270" s="128"/>
      <c r="H270" s="143">
        <v>5</v>
      </c>
      <c r="I270" s="46" t="s">
        <v>470</v>
      </c>
      <c r="J270" s="83" t="s">
        <v>371</v>
      </c>
      <c r="K270" s="46"/>
      <c r="L270" s="46">
        <f t="shared" si="48"/>
        <v>40</v>
      </c>
      <c r="M270" s="46">
        <v>8</v>
      </c>
      <c r="N270" s="47"/>
      <c r="O270" s="14"/>
      <c r="P270" s="14"/>
      <c r="Q270" s="14"/>
      <c r="R270" s="81"/>
      <c r="S270" s="73"/>
      <c r="T270" s="80"/>
      <c r="U270" s="81"/>
      <c r="V270" s="73"/>
      <c r="W270" s="14"/>
      <c r="X270" s="86"/>
      <c r="Y270" s="14"/>
      <c r="Z270" s="14"/>
      <c r="AA270" s="14"/>
      <c r="AB270" s="14"/>
    </row>
    <row r="271" spans="1:28" x14ac:dyDescent="0.25">
      <c r="A271" s="113"/>
      <c r="B271" s="137"/>
      <c r="C271" s="113"/>
      <c r="D271" s="137"/>
      <c r="E271" s="113"/>
      <c r="F271" s="128"/>
      <c r="G271" s="128"/>
      <c r="H271" s="118">
        <v>6</v>
      </c>
      <c r="I271" s="46" t="s">
        <v>495</v>
      </c>
      <c r="J271" s="83" t="s">
        <v>487</v>
      </c>
      <c r="K271" s="46"/>
      <c r="L271" s="46">
        <f>L270+M270</f>
        <v>48</v>
      </c>
      <c r="M271" s="46">
        <v>6</v>
      </c>
      <c r="N271" s="47"/>
      <c r="O271" s="14"/>
      <c r="P271" s="14"/>
      <c r="Q271" s="14"/>
      <c r="R271" s="81"/>
      <c r="S271" s="87"/>
      <c r="T271" s="80"/>
      <c r="U271" s="81"/>
      <c r="V271" s="87"/>
      <c r="W271" s="14"/>
      <c r="X271" s="86"/>
      <c r="Y271" s="14"/>
      <c r="Z271" s="14"/>
      <c r="AA271" s="14"/>
      <c r="AB271" s="14"/>
    </row>
    <row r="272" spans="1:28" x14ac:dyDescent="0.25">
      <c r="A272" s="113"/>
      <c r="B272" s="137"/>
      <c r="C272" s="113"/>
      <c r="D272" s="137"/>
      <c r="E272" s="113"/>
      <c r="F272" s="128"/>
      <c r="G272" s="128"/>
      <c r="H272" s="126"/>
      <c r="I272" s="46" t="s">
        <v>427</v>
      </c>
      <c r="J272" s="83" t="s">
        <v>303</v>
      </c>
      <c r="K272" s="46"/>
      <c r="L272" s="46">
        <f>L271+M271</f>
        <v>54</v>
      </c>
      <c r="M272" s="46">
        <v>2</v>
      </c>
      <c r="N272" s="47"/>
      <c r="O272" s="14"/>
      <c r="P272" s="14"/>
      <c r="Q272" s="14"/>
      <c r="R272" s="81"/>
      <c r="S272" s="73"/>
      <c r="T272" s="80"/>
      <c r="U272" s="81"/>
      <c r="V272" s="73"/>
      <c r="W272" s="14"/>
      <c r="X272" s="86"/>
      <c r="Y272" s="14"/>
      <c r="Z272" s="14"/>
      <c r="AA272" s="14"/>
      <c r="AB272" s="14"/>
    </row>
    <row r="273" spans="1:28" ht="13.2" customHeight="1" x14ac:dyDescent="0.25">
      <c r="A273" s="119" t="s">
        <v>101</v>
      </c>
      <c r="B273" s="136" t="s">
        <v>479</v>
      </c>
      <c r="C273" s="119" t="str">
        <f>DEC2HEX(D273)</f>
        <v>3E</v>
      </c>
      <c r="D273" s="136">
        <f>D265+1</f>
        <v>62</v>
      </c>
      <c r="E273" s="119">
        <v>7</v>
      </c>
      <c r="F273" s="127" t="s">
        <v>194</v>
      </c>
      <c r="G273" s="127" t="s">
        <v>242</v>
      </c>
      <c r="H273" s="92">
        <v>0</v>
      </c>
      <c r="I273" s="43" t="s">
        <v>428</v>
      </c>
      <c r="J273" s="82" t="s">
        <v>299</v>
      </c>
      <c r="K273" s="43"/>
      <c r="L273" s="43">
        <v>0</v>
      </c>
      <c r="M273" s="43">
        <v>8</v>
      </c>
      <c r="N273" s="45"/>
      <c r="O273" s="14"/>
      <c r="P273" s="14"/>
      <c r="Q273" s="14"/>
      <c r="R273" s="81"/>
      <c r="S273" s="73"/>
      <c r="T273" s="80"/>
      <c r="U273" s="81"/>
      <c r="V273" s="73"/>
      <c r="W273" s="14"/>
      <c r="X273" s="86"/>
      <c r="Y273" s="14"/>
      <c r="Z273" s="14"/>
      <c r="AA273" s="14"/>
      <c r="AB273" s="14"/>
    </row>
    <row r="274" spans="1:28" x14ac:dyDescent="0.25">
      <c r="A274" s="113"/>
      <c r="B274" s="137"/>
      <c r="C274" s="113"/>
      <c r="D274" s="137"/>
      <c r="E274" s="113"/>
      <c r="F274" s="128"/>
      <c r="G274" s="128"/>
      <c r="H274" s="88">
        <v>1</v>
      </c>
      <c r="I274" s="46" t="s">
        <v>429</v>
      </c>
      <c r="J274" s="83" t="s">
        <v>299</v>
      </c>
      <c r="K274" s="46"/>
      <c r="L274" s="46">
        <f>L273+M273</f>
        <v>8</v>
      </c>
      <c r="M274" s="46">
        <v>8</v>
      </c>
      <c r="N274" s="47"/>
      <c r="O274" s="14"/>
      <c r="P274" s="14"/>
      <c r="Q274" s="14"/>
      <c r="R274" s="81"/>
      <c r="S274" s="73"/>
      <c r="T274" s="80"/>
      <c r="U274" s="81"/>
      <c r="V274" s="73"/>
      <c r="W274" s="14"/>
      <c r="X274" s="86"/>
      <c r="Y274" s="14"/>
      <c r="Z274" s="14"/>
      <c r="AA274" s="14"/>
      <c r="AB274" s="14"/>
    </row>
    <row r="275" spans="1:28" x14ac:dyDescent="0.25">
      <c r="A275" s="113"/>
      <c r="B275" s="137"/>
      <c r="C275" s="113"/>
      <c r="D275" s="137"/>
      <c r="E275" s="113"/>
      <c r="F275" s="128"/>
      <c r="G275" s="128"/>
      <c r="H275" s="88">
        <v>2</v>
      </c>
      <c r="I275" s="46" t="s">
        <v>430</v>
      </c>
      <c r="J275" s="83" t="s">
        <v>371</v>
      </c>
      <c r="K275" s="46"/>
      <c r="L275" s="46">
        <f t="shared" ref="L275:L278" si="49">L274+M274</f>
        <v>16</v>
      </c>
      <c r="M275" s="46">
        <v>8</v>
      </c>
      <c r="N275" s="47"/>
      <c r="O275" s="14"/>
      <c r="P275" s="14"/>
      <c r="Q275" s="14"/>
      <c r="R275" s="81"/>
      <c r="S275" s="73"/>
      <c r="T275" s="80"/>
      <c r="U275" s="81"/>
      <c r="V275" s="73"/>
      <c r="W275" s="14"/>
      <c r="X275" s="86"/>
      <c r="Y275" s="14"/>
      <c r="Z275" s="14"/>
      <c r="AA275" s="14"/>
      <c r="AB275" s="14"/>
    </row>
    <row r="276" spans="1:28" x14ac:dyDescent="0.25">
      <c r="A276" s="113"/>
      <c r="B276" s="137"/>
      <c r="C276" s="113"/>
      <c r="D276" s="137"/>
      <c r="E276" s="113"/>
      <c r="F276" s="128"/>
      <c r="G276" s="128"/>
      <c r="H276" s="143">
        <v>3</v>
      </c>
      <c r="I276" s="46" t="s">
        <v>431</v>
      </c>
      <c r="J276" s="83" t="s">
        <v>298</v>
      </c>
      <c r="K276" s="46"/>
      <c r="L276" s="46">
        <f t="shared" si="49"/>
        <v>24</v>
      </c>
      <c r="M276" s="46">
        <v>8</v>
      </c>
      <c r="N276" s="47"/>
      <c r="O276" s="14"/>
      <c r="P276" s="14"/>
      <c r="Q276" s="14"/>
      <c r="R276" s="81"/>
      <c r="S276" s="73"/>
      <c r="T276" s="80"/>
      <c r="U276" s="81"/>
      <c r="V276" s="73"/>
      <c r="W276" s="14"/>
      <c r="X276" s="86"/>
      <c r="Y276" s="14"/>
      <c r="Z276" s="14"/>
      <c r="AA276" s="14"/>
      <c r="AB276" s="14"/>
    </row>
    <row r="277" spans="1:28" x14ac:dyDescent="0.25">
      <c r="A277" s="113"/>
      <c r="B277" s="137"/>
      <c r="C277" s="113"/>
      <c r="D277" s="137"/>
      <c r="E277" s="113"/>
      <c r="F277" s="128"/>
      <c r="G277" s="128"/>
      <c r="H277" s="143">
        <v>4</v>
      </c>
      <c r="I277" s="46" t="s">
        <v>432</v>
      </c>
      <c r="J277" s="83" t="s">
        <v>298</v>
      </c>
      <c r="K277" s="46"/>
      <c r="L277" s="46">
        <f t="shared" si="49"/>
        <v>32</v>
      </c>
      <c r="M277" s="46">
        <v>8</v>
      </c>
      <c r="N277" s="47"/>
      <c r="O277" s="14"/>
      <c r="P277" s="14"/>
      <c r="Q277" s="14"/>
      <c r="R277" s="81"/>
      <c r="S277" s="73"/>
      <c r="T277" s="80"/>
      <c r="U277" s="81"/>
      <c r="V277" s="73"/>
      <c r="W277" s="14"/>
      <c r="X277" s="86"/>
      <c r="Y277" s="14"/>
      <c r="Z277" s="14"/>
      <c r="AA277" s="14"/>
      <c r="AB277" s="14"/>
    </row>
    <row r="278" spans="1:28" x14ac:dyDescent="0.25">
      <c r="A278" s="113"/>
      <c r="B278" s="137"/>
      <c r="C278" s="113"/>
      <c r="D278" s="137"/>
      <c r="E278" s="113"/>
      <c r="F278" s="128"/>
      <c r="G278" s="128"/>
      <c r="H278" s="143">
        <v>5</v>
      </c>
      <c r="I278" s="46" t="s">
        <v>471</v>
      </c>
      <c r="J278" s="83" t="s">
        <v>371</v>
      </c>
      <c r="K278" s="46"/>
      <c r="L278" s="46">
        <f t="shared" si="49"/>
        <v>40</v>
      </c>
      <c r="M278" s="46">
        <v>8</v>
      </c>
      <c r="N278" s="47"/>
      <c r="O278" s="14"/>
      <c r="P278" s="14"/>
      <c r="Q278" s="14"/>
      <c r="R278" s="81"/>
      <c r="S278" s="73"/>
      <c r="T278" s="80"/>
      <c r="U278" s="81"/>
      <c r="V278" s="73"/>
      <c r="W278" s="14"/>
      <c r="X278" s="86"/>
      <c r="Y278" s="14"/>
      <c r="Z278" s="14"/>
      <c r="AA278" s="14"/>
      <c r="AB278" s="14"/>
    </row>
    <row r="279" spans="1:28" x14ac:dyDescent="0.25">
      <c r="A279" s="113"/>
      <c r="B279" s="137"/>
      <c r="C279" s="113"/>
      <c r="D279" s="137"/>
      <c r="E279" s="113"/>
      <c r="F279" s="128"/>
      <c r="G279" s="128"/>
      <c r="H279" s="118">
        <v>6</v>
      </c>
      <c r="I279" s="46" t="s">
        <v>496</v>
      </c>
      <c r="J279" s="83" t="s">
        <v>487</v>
      </c>
      <c r="K279" s="46"/>
      <c r="L279" s="46">
        <f>L278+M278</f>
        <v>48</v>
      </c>
      <c r="M279" s="46">
        <v>6</v>
      </c>
      <c r="N279" s="47"/>
      <c r="O279" s="14"/>
      <c r="P279" s="14"/>
      <c r="Q279" s="14"/>
      <c r="R279" s="81"/>
      <c r="S279" s="87"/>
      <c r="T279" s="80"/>
      <c r="U279" s="81"/>
      <c r="V279" s="87"/>
      <c r="W279" s="14"/>
      <c r="X279" s="86"/>
      <c r="Y279" s="14"/>
      <c r="Z279" s="14"/>
      <c r="AA279" s="14"/>
      <c r="AB279" s="14"/>
    </row>
    <row r="280" spans="1:28" x14ac:dyDescent="0.25">
      <c r="A280" s="113"/>
      <c r="B280" s="137"/>
      <c r="C280" s="113"/>
      <c r="D280" s="137"/>
      <c r="E280" s="113"/>
      <c r="F280" s="128"/>
      <c r="G280" s="128"/>
      <c r="H280" s="126"/>
      <c r="I280" s="46" t="s">
        <v>433</v>
      </c>
      <c r="J280" s="83" t="s">
        <v>303</v>
      </c>
      <c r="K280" s="46"/>
      <c r="L280" s="46">
        <f>L279+M279</f>
        <v>54</v>
      </c>
      <c r="M280" s="46">
        <v>2</v>
      </c>
      <c r="N280" s="47"/>
      <c r="O280" s="14"/>
      <c r="P280" s="14"/>
      <c r="Q280" s="14"/>
      <c r="R280" s="81"/>
      <c r="S280" s="73"/>
      <c r="T280" s="80"/>
      <c r="U280" s="81"/>
      <c r="V280" s="73"/>
      <c r="W280" s="14"/>
      <c r="X280" s="86"/>
      <c r="Y280" s="14"/>
      <c r="Z280" s="14"/>
      <c r="AA280" s="14"/>
      <c r="AB280" s="14"/>
    </row>
    <row r="281" spans="1:28" ht="13.2" customHeight="1" x14ac:dyDescent="0.25">
      <c r="A281" s="119" t="s">
        <v>101</v>
      </c>
      <c r="B281" s="136" t="s">
        <v>480</v>
      </c>
      <c r="C281" s="119" t="str">
        <f>DEC2HEX(D281)</f>
        <v>3F</v>
      </c>
      <c r="D281" s="136">
        <f t="shared" ref="D281" si="50">D273+1</f>
        <v>63</v>
      </c>
      <c r="E281" s="119">
        <v>7</v>
      </c>
      <c r="F281" s="127" t="s">
        <v>195</v>
      </c>
      <c r="G281" s="127" t="s">
        <v>242</v>
      </c>
      <c r="H281" s="92">
        <v>0</v>
      </c>
      <c r="I281" s="43" t="s">
        <v>434</v>
      </c>
      <c r="J281" s="82" t="s">
        <v>299</v>
      </c>
      <c r="K281" s="43"/>
      <c r="L281" s="43">
        <v>0</v>
      </c>
      <c r="M281" s="43">
        <v>8</v>
      </c>
      <c r="N281" s="45"/>
      <c r="O281" s="14"/>
      <c r="P281" s="14"/>
      <c r="Q281" s="14"/>
      <c r="R281" s="81"/>
      <c r="S281" s="73"/>
      <c r="T281" s="80"/>
      <c r="U281" s="81"/>
      <c r="V281" s="73"/>
      <c r="W281" s="14"/>
      <c r="X281" s="86"/>
      <c r="Y281" s="14"/>
      <c r="Z281" s="14"/>
      <c r="AA281" s="14"/>
      <c r="AB281" s="14"/>
    </row>
    <row r="282" spans="1:28" x14ac:dyDescent="0.25">
      <c r="A282" s="113"/>
      <c r="B282" s="137"/>
      <c r="C282" s="113"/>
      <c r="D282" s="137"/>
      <c r="E282" s="113"/>
      <c r="F282" s="128"/>
      <c r="G282" s="128"/>
      <c r="H282" s="88">
        <v>1</v>
      </c>
      <c r="I282" s="46" t="s">
        <v>435</v>
      </c>
      <c r="J282" s="83" t="s">
        <v>299</v>
      </c>
      <c r="K282" s="46"/>
      <c r="L282" s="46">
        <f>L281+M281</f>
        <v>8</v>
      </c>
      <c r="M282" s="46">
        <v>8</v>
      </c>
      <c r="N282" s="47"/>
      <c r="O282" s="14"/>
      <c r="P282" s="14"/>
      <c r="Q282" s="14"/>
      <c r="R282" s="81"/>
      <c r="S282" s="73"/>
      <c r="T282" s="80"/>
      <c r="U282" s="81"/>
      <c r="V282" s="73"/>
      <c r="W282" s="14"/>
      <c r="X282" s="86"/>
      <c r="Y282" s="14"/>
      <c r="Z282" s="14"/>
      <c r="AA282" s="14"/>
      <c r="AB282" s="14"/>
    </row>
    <row r="283" spans="1:28" x14ac:dyDescent="0.25">
      <c r="A283" s="113"/>
      <c r="B283" s="137"/>
      <c r="C283" s="113"/>
      <c r="D283" s="137"/>
      <c r="E283" s="113"/>
      <c r="F283" s="128"/>
      <c r="G283" s="128"/>
      <c r="H283" s="88">
        <v>2</v>
      </c>
      <c r="I283" s="46" t="s">
        <v>436</v>
      </c>
      <c r="J283" s="83" t="s">
        <v>371</v>
      </c>
      <c r="K283" s="46"/>
      <c r="L283" s="46">
        <f t="shared" ref="L283:L286" si="51">L282+M282</f>
        <v>16</v>
      </c>
      <c r="M283" s="46">
        <v>8</v>
      </c>
      <c r="N283" s="47"/>
      <c r="O283" s="14"/>
      <c r="P283" s="14"/>
      <c r="Q283" s="14"/>
      <c r="R283" s="81"/>
      <c r="S283" s="73"/>
      <c r="T283" s="80"/>
      <c r="U283" s="81"/>
      <c r="V283" s="73"/>
      <c r="W283" s="14"/>
      <c r="X283" s="86"/>
      <c r="Y283" s="14"/>
      <c r="Z283" s="14"/>
      <c r="AA283" s="14"/>
      <c r="AB283" s="14"/>
    </row>
    <row r="284" spans="1:28" x14ac:dyDescent="0.25">
      <c r="A284" s="113"/>
      <c r="B284" s="137"/>
      <c r="C284" s="113"/>
      <c r="D284" s="137"/>
      <c r="E284" s="113"/>
      <c r="F284" s="128"/>
      <c r="G284" s="128"/>
      <c r="H284" s="143">
        <v>3</v>
      </c>
      <c r="I284" s="46" t="s">
        <v>437</v>
      </c>
      <c r="J284" s="83" t="s">
        <v>298</v>
      </c>
      <c r="K284" s="46"/>
      <c r="L284" s="46">
        <f t="shared" si="51"/>
        <v>24</v>
      </c>
      <c r="M284" s="46">
        <v>8</v>
      </c>
      <c r="N284" s="47"/>
      <c r="O284" s="14"/>
      <c r="P284" s="14"/>
      <c r="Q284" s="14"/>
      <c r="R284" s="81"/>
      <c r="S284" s="73"/>
      <c r="T284" s="80"/>
      <c r="U284" s="81"/>
      <c r="V284" s="73"/>
      <c r="W284" s="14"/>
      <c r="X284" s="86"/>
      <c r="Y284" s="14"/>
      <c r="Z284" s="14"/>
      <c r="AA284" s="14"/>
      <c r="AB284" s="14"/>
    </row>
    <row r="285" spans="1:28" x14ac:dyDescent="0.25">
      <c r="A285" s="113"/>
      <c r="B285" s="137"/>
      <c r="C285" s="113"/>
      <c r="D285" s="137"/>
      <c r="E285" s="113"/>
      <c r="F285" s="128"/>
      <c r="G285" s="128"/>
      <c r="H285" s="143">
        <v>4</v>
      </c>
      <c r="I285" s="46" t="s">
        <v>438</v>
      </c>
      <c r="J285" s="83" t="s">
        <v>298</v>
      </c>
      <c r="K285" s="46"/>
      <c r="L285" s="46">
        <f t="shared" si="51"/>
        <v>32</v>
      </c>
      <c r="M285" s="46">
        <v>8</v>
      </c>
      <c r="N285" s="47"/>
      <c r="O285" s="14"/>
      <c r="P285" s="14"/>
      <c r="Q285" s="14"/>
      <c r="R285" s="81"/>
      <c r="S285" s="73"/>
      <c r="T285" s="80"/>
      <c r="U285" s="81"/>
      <c r="V285" s="73"/>
      <c r="W285" s="14"/>
      <c r="X285" s="86"/>
      <c r="Y285" s="14"/>
      <c r="Z285" s="14"/>
      <c r="AA285" s="14"/>
      <c r="AB285" s="14"/>
    </row>
    <row r="286" spans="1:28" x14ac:dyDescent="0.25">
      <c r="A286" s="113"/>
      <c r="B286" s="137"/>
      <c r="C286" s="113"/>
      <c r="D286" s="137"/>
      <c r="E286" s="113"/>
      <c r="F286" s="128"/>
      <c r="G286" s="128"/>
      <c r="H286" s="143">
        <v>5</v>
      </c>
      <c r="I286" s="46" t="s">
        <v>472</v>
      </c>
      <c r="J286" s="83" t="s">
        <v>371</v>
      </c>
      <c r="K286" s="46"/>
      <c r="L286" s="46">
        <f t="shared" si="51"/>
        <v>40</v>
      </c>
      <c r="M286" s="46">
        <v>8</v>
      </c>
      <c r="N286" s="47"/>
      <c r="O286" s="14"/>
      <c r="P286" s="14"/>
      <c r="Q286" s="14"/>
      <c r="R286" s="81"/>
      <c r="S286" s="73"/>
      <c r="T286" s="80"/>
      <c r="U286" s="81"/>
      <c r="V286" s="73"/>
      <c r="W286" s="14"/>
      <c r="X286" s="86"/>
      <c r="Y286" s="14"/>
      <c r="Z286" s="14"/>
      <c r="AA286" s="14"/>
      <c r="AB286" s="14"/>
    </row>
    <row r="287" spans="1:28" x14ac:dyDescent="0.25">
      <c r="A287" s="113"/>
      <c r="B287" s="137"/>
      <c r="C287" s="113"/>
      <c r="D287" s="137"/>
      <c r="E287" s="113"/>
      <c r="F287" s="128"/>
      <c r="G287" s="128"/>
      <c r="H287" s="118">
        <v>6</v>
      </c>
      <c r="I287" s="46" t="s">
        <v>497</v>
      </c>
      <c r="J287" s="83" t="s">
        <v>487</v>
      </c>
      <c r="K287" s="46"/>
      <c r="L287" s="46">
        <f>L286+M286</f>
        <v>48</v>
      </c>
      <c r="M287" s="46">
        <v>6</v>
      </c>
      <c r="N287" s="47"/>
      <c r="O287" s="14"/>
      <c r="P287" s="14"/>
      <c r="Q287" s="14"/>
      <c r="R287" s="81"/>
      <c r="S287" s="87"/>
      <c r="T287" s="80"/>
      <c r="U287" s="81"/>
      <c r="V287" s="87"/>
      <c r="W287" s="14"/>
      <c r="X287" s="86"/>
      <c r="Y287" s="14"/>
      <c r="Z287" s="14"/>
      <c r="AA287" s="14"/>
      <c r="AB287" s="14"/>
    </row>
    <row r="288" spans="1:28" x14ac:dyDescent="0.25">
      <c r="A288" s="113"/>
      <c r="B288" s="137"/>
      <c r="C288" s="113"/>
      <c r="D288" s="137"/>
      <c r="E288" s="113"/>
      <c r="F288" s="128"/>
      <c r="G288" s="128"/>
      <c r="H288" s="126"/>
      <c r="I288" s="46" t="s">
        <v>439</v>
      </c>
      <c r="J288" s="83" t="s">
        <v>303</v>
      </c>
      <c r="K288" s="46"/>
      <c r="L288" s="46">
        <f>L287+M287</f>
        <v>54</v>
      </c>
      <c r="M288" s="46">
        <v>2</v>
      </c>
      <c r="N288" s="47"/>
      <c r="O288" s="14"/>
      <c r="P288" s="14"/>
      <c r="Q288" s="14"/>
      <c r="R288" s="81"/>
      <c r="S288" s="73"/>
      <c r="T288" s="80"/>
      <c r="U288" s="81"/>
      <c r="V288" s="73"/>
      <c r="W288" s="14"/>
      <c r="X288" s="86"/>
      <c r="Y288" s="14"/>
      <c r="Z288" s="14"/>
      <c r="AA288" s="14"/>
      <c r="AB288" s="14"/>
    </row>
    <row r="289" spans="1:28" ht="13.2" customHeight="1" x14ac:dyDescent="0.25">
      <c r="A289" s="119" t="s">
        <v>101</v>
      </c>
      <c r="B289" s="136" t="s">
        <v>481</v>
      </c>
      <c r="C289" s="119" t="str">
        <f>DEC2HEX(D289)</f>
        <v>40</v>
      </c>
      <c r="D289" s="136">
        <f t="shared" ref="D289" si="52">D281+1</f>
        <v>64</v>
      </c>
      <c r="E289" s="119">
        <v>7</v>
      </c>
      <c r="F289" s="127" t="s">
        <v>195</v>
      </c>
      <c r="G289" s="127" t="s">
        <v>242</v>
      </c>
      <c r="H289" s="92">
        <v>0</v>
      </c>
      <c r="I289" s="43" t="s">
        <v>440</v>
      </c>
      <c r="J289" s="82" t="s">
        <v>299</v>
      </c>
      <c r="K289" s="43"/>
      <c r="L289" s="43">
        <v>0</v>
      </c>
      <c r="M289" s="43">
        <v>8</v>
      </c>
      <c r="N289" s="45"/>
      <c r="O289" s="14"/>
      <c r="P289" s="14"/>
      <c r="Q289" s="14"/>
      <c r="R289" s="81"/>
      <c r="S289" s="73"/>
      <c r="T289" s="80"/>
      <c r="U289" s="81"/>
      <c r="V289" s="73"/>
      <c r="W289" s="14"/>
      <c r="X289" s="86"/>
      <c r="Y289" s="14"/>
      <c r="Z289" s="14"/>
      <c r="AA289" s="14"/>
      <c r="AB289" s="14"/>
    </row>
    <row r="290" spans="1:28" x14ac:dyDescent="0.25">
      <c r="A290" s="113"/>
      <c r="B290" s="137"/>
      <c r="C290" s="113"/>
      <c r="D290" s="137"/>
      <c r="E290" s="113"/>
      <c r="F290" s="128"/>
      <c r="G290" s="128"/>
      <c r="H290" s="88">
        <v>1</v>
      </c>
      <c r="I290" s="46" t="s">
        <v>441</v>
      </c>
      <c r="J290" s="83" t="s">
        <v>299</v>
      </c>
      <c r="K290" s="46"/>
      <c r="L290" s="46">
        <f>L289+M289</f>
        <v>8</v>
      </c>
      <c r="M290" s="46">
        <v>8</v>
      </c>
      <c r="N290" s="47"/>
      <c r="O290" s="14"/>
      <c r="P290" s="14"/>
      <c r="Q290" s="14"/>
      <c r="R290" s="81"/>
      <c r="S290" s="73"/>
      <c r="T290" s="80"/>
      <c r="U290" s="81"/>
      <c r="V290" s="73"/>
      <c r="W290" s="14"/>
      <c r="X290" s="86"/>
      <c r="Y290" s="14"/>
      <c r="Z290" s="14"/>
      <c r="AA290" s="14"/>
      <c r="AB290" s="14"/>
    </row>
    <row r="291" spans="1:28" x14ac:dyDescent="0.25">
      <c r="A291" s="113"/>
      <c r="B291" s="137"/>
      <c r="C291" s="113"/>
      <c r="D291" s="137"/>
      <c r="E291" s="113"/>
      <c r="F291" s="128"/>
      <c r="G291" s="128"/>
      <c r="H291" s="88">
        <v>2</v>
      </c>
      <c r="I291" s="46" t="s">
        <v>442</v>
      </c>
      <c r="J291" s="83" t="s">
        <v>371</v>
      </c>
      <c r="K291" s="46"/>
      <c r="L291" s="46">
        <f t="shared" ref="L291:L294" si="53">L290+M290</f>
        <v>16</v>
      </c>
      <c r="M291" s="46">
        <v>8</v>
      </c>
      <c r="N291" s="47"/>
      <c r="O291" s="14"/>
      <c r="P291" s="14"/>
      <c r="Q291" s="14"/>
      <c r="R291" s="81"/>
      <c r="S291" s="73"/>
      <c r="T291" s="80"/>
      <c r="U291" s="81"/>
      <c r="V291" s="73"/>
      <c r="W291" s="14"/>
      <c r="X291" s="86"/>
      <c r="Y291" s="14"/>
      <c r="Z291" s="14"/>
      <c r="AA291" s="14"/>
      <c r="AB291" s="14"/>
    </row>
    <row r="292" spans="1:28" x14ac:dyDescent="0.25">
      <c r="A292" s="113"/>
      <c r="B292" s="137"/>
      <c r="C292" s="113"/>
      <c r="D292" s="137"/>
      <c r="E292" s="113"/>
      <c r="F292" s="128"/>
      <c r="G292" s="128"/>
      <c r="H292" s="143">
        <v>3</v>
      </c>
      <c r="I292" s="46" t="s">
        <v>443</v>
      </c>
      <c r="J292" s="83" t="s">
        <v>298</v>
      </c>
      <c r="K292" s="46"/>
      <c r="L292" s="46">
        <f t="shared" si="53"/>
        <v>24</v>
      </c>
      <c r="M292" s="46">
        <v>8</v>
      </c>
      <c r="N292" s="47"/>
      <c r="O292" s="14"/>
      <c r="P292" s="14"/>
      <c r="Q292" s="14"/>
      <c r="R292" s="81"/>
      <c r="S292" s="73"/>
      <c r="T292" s="80"/>
      <c r="U292" s="81"/>
      <c r="V292" s="73"/>
      <c r="W292" s="14"/>
      <c r="X292" s="86"/>
      <c r="Y292" s="14"/>
      <c r="Z292" s="14"/>
      <c r="AA292" s="14"/>
      <c r="AB292" s="14"/>
    </row>
    <row r="293" spans="1:28" x14ac:dyDescent="0.25">
      <c r="A293" s="113"/>
      <c r="B293" s="137"/>
      <c r="C293" s="113"/>
      <c r="D293" s="137"/>
      <c r="E293" s="113"/>
      <c r="F293" s="128"/>
      <c r="G293" s="128"/>
      <c r="H293" s="143">
        <v>4</v>
      </c>
      <c r="I293" s="46" t="s">
        <v>444</v>
      </c>
      <c r="J293" s="83" t="s">
        <v>298</v>
      </c>
      <c r="K293" s="46"/>
      <c r="L293" s="46">
        <f t="shared" si="53"/>
        <v>32</v>
      </c>
      <c r="M293" s="46">
        <v>8</v>
      </c>
      <c r="N293" s="47"/>
      <c r="O293" s="14"/>
      <c r="P293" s="14"/>
      <c r="Q293" s="14"/>
      <c r="R293" s="81"/>
      <c r="S293" s="73"/>
      <c r="T293" s="80"/>
      <c r="U293" s="81"/>
      <c r="V293" s="73"/>
      <c r="W293" s="14"/>
      <c r="X293" s="86"/>
      <c r="Y293" s="14"/>
      <c r="Z293" s="14"/>
      <c r="AA293" s="14"/>
      <c r="AB293" s="14"/>
    </row>
    <row r="294" spans="1:28" x14ac:dyDescent="0.25">
      <c r="A294" s="113"/>
      <c r="B294" s="137"/>
      <c r="C294" s="113"/>
      <c r="D294" s="137"/>
      <c r="E294" s="113"/>
      <c r="F294" s="128"/>
      <c r="G294" s="128"/>
      <c r="H294" s="143">
        <v>5</v>
      </c>
      <c r="I294" s="46" t="s">
        <v>473</v>
      </c>
      <c r="J294" s="83" t="s">
        <v>371</v>
      </c>
      <c r="K294" s="46"/>
      <c r="L294" s="46">
        <f t="shared" si="53"/>
        <v>40</v>
      </c>
      <c r="M294" s="46">
        <v>8</v>
      </c>
      <c r="N294" s="47"/>
      <c r="O294" s="14"/>
      <c r="P294" s="14"/>
      <c r="Q294" s="14"/>
      <c r="R294" s="81"/>
      <c r="S294" s="73"/>
      <c r="T294" s="80"/>
      <c r="U294" s="81"/>
      <c r="V294" s="73"/>
      <c r="W294" s="14"/>
      <c r="X294" s="86"/>
      <c r="Y294" s="14"/>
      <c r="Z294" s="14"/>
      <c r="AA294" s="14"/>
      <c r="AB294" s="14"/>
    </row>
    <row r="295" spans="1:28" x14ac:dyDescent="0.25">
      <c r="A295" s="113"/>
      <c r="B295" s="137"/>
      <c r="C295" s="113"/>
      <c r="D295" s="137"/>
      <c r="E295" s="113"/>
      <c r="F295" s="128"/>
      <c r="G295" s="128"/>
      <c r="H295" s="118">
        <v>6</v>
      </c>
      <c r="I295" s="46" t="s">
        <v>498</v>
      </c>
      <c r="J295" s="83" t="s">
        <v>487</v>
      </c>
      <c r="K295" s="46"/>
      <c r="L295" s="46">
        <f>L294+M294</f>
        <v>48</v>
      </c>
      <c r="M295" s="46">
        <v>6</v>
      </c>
      <c r="N295" s="47"/>
      <c r="O295" s="14"/>
      <c r="P295" s="14"/>
      <c r="Q295" s="14"/>
      <c r="R295" s="81"/>
      <c r="S295" s="87"/>
      <c r="T295" s="80"/>
      <c r="U295" s="81"/>
      <c r="V295" s="87"/>
      <c r="W295" s="14"/>
      <c r="X295" s="86"/>
      <c r="Y295" s="14"/>
      <c r="Z295" s="14"/>
      <c r="AA295" s="14"/>
      <c r="AB295" s="14"/>
    </row>
    <row r="296" spans="1:28" x14ac:dyDescent="0.25">
      <c r="A296" s="113"/>
      <c r="B296" s="137"/>
      <c r="C296" s="113"/>
      <c r="D296" s="137"/>
      <c r="E296" s="113"/>
      <c r="F296" s="128"/>
      <c r="G296" s="128"/>
      <c r="H296" s="126"/>
      <c r="I296" s="46" t="s">
        <v>445</v>
      </c>
      <c r="J296" s="83" t="s">
        <v>303</v>
      </c>
      <c r="K296" s="46"/>
      <c r="L296" s="46">
        <f>L295+M295</f>
        <v>54</v>
      </c>
      <c r="M296" s="46">
        <v>2</v>
      </c>
      <c r="N296" s="47"/>
      <c r="O296" s="14"/>
      <c r="P296" s="14"/>
      <c r="Q296" s="14"/>
      <c r="R296" s="81"/>
      <c r="S296" s="73"/>
      <c r="T296" s="80"/>
      <c r="U296" s="81"/>
      <c r="V296" s="73"/>
      <c r="W296" s="14"/>
      <c r="X296" s="86"/>
      <c r="Y296" s="14"/>
      <c r="Z296" s="14"/>
      <c r="AA296" s="14"/>
      <c r="AB296" s="14"/>
    </row>
    <row r="297" spans="1:28" ht="13.2" customHeight="1" x14ac:dyDescent="0.25">
      <c r="A297" s="119" t="s">
        <v>101</v>
      </c>
      <c r="B297" s="136" t="s">
        <v>482</v>
      </c>
      <c r="C297" s="119" t="str">
        <f>DEC2HEX(D297)</f>
        <v>41</v>
      </c>
      <c r="D297" s="136">
        <f t="shared" ref="D297" si="54">D289+1</f>
        <v>65</v>
      </c>
      <c r="E297" s="119">
        <v>7</v>
      </c>
      <c r="F297" s="127" t="s">
        <v>254</v>
      </c>
      <c r="G297" s="127" t="s">
        <v>242</v>
      </c>
      <c r="H297" s="92">
        <v>0</v>
      </c>
      <c r="I297" s="43" t="s">
        <v>446</v>
      </c>
      <c r="J297" s="82" t="s">
        <v>299</v>
      </c>
      <c r="K297" s="43"/>
      <c r="L297" s="43">
        <v>0</v>
      </c>
      <c r="M297" s="43">
        <v>8</v>
      </c>
      <c r="N297" s="45"/>
      <c r="O297" s="14"/>
      <c r="P297" s="14"/>
      <c r="Q297" s="14"/>
      <c r="R297" s="81"/>
      <c r="S297" s="73"/>
      <c r="T297" s="80"/>
      <c r="U297" s="81"/>
      <c r="V297" s="73"/>
      <c r="W297" s="14"/>
      <c r="X297" s="86"/>
      <c r="Y297" s="14"/>
      <c r="Z297" s="14"/>
      <c r="AA297" s="14"/>
      <c r="AB297" s="14"/>
    </row>
    <row r="298" spans="1:28" x14ac:dyDescent="0.25">
      <c r="A298" s="113"/>
      <c r="B298" s="137"/>
      <c r="C298" s="113"/>
      <c r="D298" s="137"/>
      <c r="E298" s="113"/>
      <c r="F298" s="128"/>
      <c r="G298" s="128"/>
      <c r="H298" s="88">
        <v>1</v>
      </c>
      <c r="I298" s="46" t="s">
        <v>447</v>
      </c>
      <c r="J298" s="83" t="s">
        <v>299</v>
      </c>
      <c r="K298" s="46"/>
      <c r="L298" s="46">
        <f>L297+M297</f>
        <v>8</v>
      </c>
      <c r="M298" s="46">
        <v>8</v>
      </c>
      <c r="N298" s="47"/>
      <c r="O298" s="14"/>
      <c r="P298" s="14"/>
      <c r="Q298" s="14"/>
      <c r="R298" s="81"/>
      <c r="S298" s="73"/>
      <c r="T298" s="80"/>
      <c r="U298" s="81"/>
      <c r="V298" s="73"/>
      <c r="W298" s="14"/>
      <c r="X298" s="86"/>
      <c r="Y298" s="14"/>
      <c r="Z298" s="14"/>
      <c r="AA298" s="14"/>
      <c r="AB298" s="14"/>
    </row>
    <row r="299" spans="1:28" x14ac:dyDescent="0.25">
      <c r="A299" s="113"/>
      <c r="B299" s="137"/>
      <c r="C299" s="113"/>
      <c r="D299" s="137"/>
      <c r="E299" s="113"/>
      <c r="F299" s="128"/>
      <c r="G299" s="128"/>
      <c r="H299" s="88">
        <v>2</v>
      </c>
      <c r="I299" s="46" t="s">
        <v>448</v>
      </c>
      <c r="J299" s="83" t="s">
        <v>371</v>
      </c>
      <c r="K299" s="46"/>
      <c r="L299" s="46">
        <f t="shared" ref="L299:L302" si="55">L298+M298</f>
        <v>16</v>
      </c>
      <c r="M299" s="46">
        <v>8</v>
      </c>
      <c r="N299" s="47"/>
      <c r="O299" s="14"/>
      <c r="P299" s="14"/>
      <c r="Q299" s="14"/>
      <c r="R299" s="81"/>
      <c r="S299" s="73"/>
      <c r="T299" s="80"/>
      <c r="U299" s="81"/>
      <c r="V299" s="73"/>
      <c r="W299" s="14"/>
      <c r="X299" s="86"/>
      <c r="Y299" s="14"/>
      <c r="Z299" s="14"/>
      <c r="AA299" s="14"/>
      <c r="AB299" s="14"/>
    </row>
    <row r="300" spans="1:28" x14ac:dyDescent="0.25">
      <c r="A300" s="113"/>
      <c r="B300" s="137"/>
      <c r="C300" s="113"/>
      <c r="D300" s="137"/>
      <c r="E300" s="113"/>
      <c r="F300" s="128"/>
      <c r="G300" s="128"/>
      <c r="H300" s="143">
        <v>3</v>
      </c>
      <c r="I300" s="46" t="s">
        <v>449</v>
      </c>
      <c r="J300" s="83" t="s">
        <v>298</v>
      </c>
      <c r="K300" s="46"/>
      <c r="L300" s="46">
        <f t="shared" si="55"/>
        <v>24</v>
      </c>
      <c r="M300" s="46">
        <v>8</v>
      </c>
      <c r="N300" s="47"/>
      <c r="O300" s="14"/>
      <c r="P300" s="14"/>
      <c r="Q300" s="14"/>
      <c r="R300" s="81"/>
      <c r="S300" s="73"/>
      <c r="T300" s="80"/>
      <c r="U300" s="81"/>
      <c r="V300" s="73"/>
      <c r="W300" s="14"/>
      <c r="X300" s="86"/>
      <c r="Y300" s="14"/>
      <c r="Z300" s="14"/>
      <c r="AA300" s="14"/>
      <c r="AB300" s="14"/>
    </row>
    <row r="301" spans="1:28" x14ac:dyDescent="0.25">
      <c r="A301" s="113"/>
      <c r="B301" s="137"/>
      <c r="C301" s="113"/>
      <c r="D301" s="137"/>
      <c r="E301" s="113"/>
      <c r="F301" s="128"/>
      <c r="G301" s="128"/>
      <c r="H301" s="143">
        <v>4</v>
      </c>
      <c r="I301" s="46" t="s">
        <v>450</v>
      </c>
      <c r="J301" s="83" t="s">
        <v>298</v>
      </c>
      <c r="K301" s="46"/>
      <c r="L301" s="46">
        <f t="shared" si="55"/>
        <v>32</v>
      </c>
      <c r="M301" s="46">
        <v>8</v>
      </c>
      <c r="N301" s="47"/>
      <c r="O301" s="14"/>
      <c r="P301" s="14"/>
      <c r="Q301" s="14"/>
      <c r="R301" s="81"/>
      <c r="S301" s="73"/>
      <c r="T301" s="80"/>
      <c r="U301" s="81"/>
      <c r="V301" s="73"/>
      <c r="W301" s="14"/>
      <c r="X301" s="86"/>
      <c r="Y301" s="14"/>
      <c r="Z301" s="14"/>
      <c r="AA301" s="14"/>
      <c r="AB301" s="14"/>
    </row>
    <row r="302" spans="1:28" x14ac:dyDescent="0.25">
      <c r="A302" s="113"/>
      <c r="B302" s="137"/>
      <c r="C302" s="113"/>
      <c r="D302" s="137"/>
      <c r="E302" s="113"/>
      <c r="F302" s="128"/>
      <c r="G302" s="128"/>
      <c r="H302" s="143">
        <v>5</v>
      </c>
      <c r="I302" s="46" t="s">
        <v>474</v>
      </c>
      <c r="J302" s="83" t="s">
        <v>371</v>
      </c>
      <c r="K302" s="46"/>
      <c r="L302" s="46">
        <f t="shared" si="55"/>
        <v>40</v>
      </c>
      <c r="M302" s="46">
        <v>8</v>
      </c>
      <c r="N302" s="47"/>
      <c r="O302" s="14"/>
      <c r="P302" s="14"/>
      <c r="Q302" s="14"/>
      <c r="R302" s="81"/>
      <c r="S302" s="73"/>
      <c r="T302" s="80"/>
      <c r="U302" s="81"/>
      <c r="V302" s="73"/>
      <c r="W302" s="14"/>
      <c r="X302" s="86"/>
      <c r="Y302" s="14"/>
      <c r="Z302" s="14"/>
      <c r="AA302" s="14"/>
      <c r="AB302" s="14"/>
    </row>
    <row r="303" spans="1:28" x14ac:dyDescent="0.25">
      <c r="A303" s="113"/>
      <c r="B303" s="137"/>
      <c r="C303" s="113"/>
      <c r="D303" s="137"/>
      <c r="E303" s="113"/>
      <c r="F303" s="128"/>
      <c r="G303" s="128"/>
      <c r="H303" s="118">
        <v>6</v>
      </c>
      <c r="I303" s="46" t="s">
        <v>499</v>
      </c>
      <c r="J303" s="83" t="s">
        <v>487</v>
      </c>
      <c r="K303" s="46"/>
      <c r="L303" s="46">
        <f>L302+M302</f>
        <v>48</v>
      </c>
      <c r="M303" s="46">
        <v>6</v>
      </c>
      <c r="N303" s="47"/>
      <c r="O303" s="14"/>
      <c r="P303" s="14"/>
      <c r="Q303" s="14"/>
      <c r="R303" s="81"/>
      <c r="S303" s="87"/>
      <c r="T303" s="80"/>
      <c r="U303" s="81"/>
      <c r="V303" s="87"/>
      <c r="W303" s="14"/>
      <c r="X303" s="86"/>
      <c r="Y303" s="14"/>
      <c r="Z303" s="14"/>
      <c r="AA303" s="14"/>
      <c r="AB303" s="14"/>
    </row>
    <row r="304" spans="1:28" x14ac:dyDescent="0.25">
      <c r="A304" s="113"/>
      <c r="B304" s="137"/>
      <c r="C304" s="113"/>
      <c r="D304" s="137"/>
      <c r="E304" s="113"/>
      <c r="F304" s="128"/>
      <c r="G304" s="128"/>
      <c r="H304" s="126"/>
      <c r="I304" s="46" t="s">
        <v>451</v>
      </c>
      <c r="J304" s="83" t="s">
        <v>303</v>
      </c>
      <c r="K304" s="46"/>
      <c r="L304" s="46">
        <f>L303+M303</f>
        <v>54</v>
      </c>
      <c r="M304" s="46">
        <v>2</v>
      </c>
      <c r="N304" s="47"/>
      <c r="O304" s="14"/>
      <c r="P304" s="14"/>
      <c r="Q304" s="14"/>
      <c r="R304" s="81"/>
      <c r="S304" s="73"/>
      <c r="T304" s="80"/>
      <c r="U304" s="81"/>
      <c r="V304" s="73"/>
      <c r="W304" s="14"/>
      <c r="X304" s="86"/>
      <c r="Y304" s="14"/>
      <c r="Z304" s="14"/>
      <c r="AA304" s="14"/>
      <c r="AB304" s="14"/>
    </row>
    <row r="305" spans="1:28" ht="13.2" customHeight="1" x14ac:dyDescent="0.25">
      <c r="A305" s="119" t="s">
        <v>101</v>
      </c>
      <c r="B305" s="136" t="s">
        <v>483</v>
      </c>
      <c r="C305" s="119" t="str">
        <f>DEC2HEX(D305)</f>
        <v>42</v>
      </c>
      <c r="D305" s="136">
        <f t="shared" ref="D305" si="56">D297+1</f>
        <v>66</v>
      </c>
      <c r="E305" s="119">
        <v>7</v>
      </c>
      <c r="F305" s="127" t="s">
        <v>254</v>
      </c>
      <c r="G305" s="127" t="s">
        <v>242</v>
      </c>
      <c r="H305" s="92">
        <v>0</v>
      </c>
      <c r="I305" s="43" t="s">
        <v>452</v>
      </c>
      <c r="J305" s="82" t="s">
        <v>299</v>
      </c>
      <c r="K305" s="43"/>
      <c r="L305" s="43">
        <v>0</v>
      </c>
      <c r="M305" s="43">
        <v>8</v>
      </c>
      <c r="N305" s="45"/>
      <c r="O305" s="14"/>
      <c r="P305" s="14"/>
      <c r="Q305" s="14"/>
      <c r="R305" s="81"/>
      <c r="S305" s="73"/>
      <c r="T305" s="80"/>
      <c r="U305" s="81"/>
      <c r="V305" s="73"/>
      <c r="W305" s="14"/>
      <c r="X305" s="86"/>
      <c r="Y305" s="14"/>
      <c r="Z305" s="14"/>
      <c r="AA305" s="14"/>
      <c r="AB305" s="14"/>
    </row>
    <row r="306" spans="1:28" x14ac:dyDescent="0.25">
      <c r="A306" s="113"/>
      <c r="B306" s="137"/>
      <c r="C306" s="113"/>
      <c r="D306" s="137"/>
      <c r="E306" s="113"/>
      <c r="F306" s="128"/>
      <c r="G306" s="128"/>
      <c r="H306" s="88">
        <v>1</v>
      </c>
      <c r="I306" s="46" t="s">
        <v>453</v>
      </c>
      <c r="J306" s="83" t="s">
        <v>299</v>
      </c>
      <c r="K306" s="46"/>
      <c r="L306" s="46">
        <f>L305+M305</f>
        <v>8</v>
      </c>
      <c r="M306" s="46">
        <v>8</v>
      </c>
      <c r="N306" s="47"/>
      <c r="O306" s="14"/>
      <c r="P306" s="14"/>
      <c r="Q306" s="14"/>
      <c r="R306" s="81"/>
      <c r="S306" s="73"/>
      <c r="T306" s="80"/>
      <c r="U306" s="81"/>
      <c r="V306" s="73"/>
      <c r="W306" s="14"/>
      <c r="X306" s="86"/>
      <c r="Y306" s="14"/>
      <c r="Z306" s="14"/>
      <c r="AA306" s="14"/>
      <c r="AB306" s="14"/>
    </row>
    <row r="307" spans="1:28" x14ac:dyDescent="0.25">
      <c r="A307" s="113"/>
      <c r="B307" s="137"/>
      <c r="C307" s="113"/>
      <c r="D307" s="137"/>
      <c r="E307" s="113"/>
      <c r="F307" s="128"/>
      <c r="G307" s="128"/>
      <c r="H307" s="88">
        <v>2</v>
      </c>
      <c r="I307" s="46" t="s">
        <v>454</v>
      </c>
      <c r="J307" s="83" t="s">
        <v>371</v>
      </c>
      <c r="K307" s="46"/>
      <c r="L307" s="46">
        <f t="shared" ref="L307:L310" si="57">L306+M306</f>
        <v>16</v>
      </c>
      <c r="M307" s="46">
        <v>8</v>
      </c>
      <c r="N307" s="47"/>
      <c r="O307" s="14"/>
      <c r="P307" s="14"/>
      <c r="Q307" s="14"/>
      <c r="R307" s="81"/>
      <c r="S307" s="73"/>
      <c r="T307" s="80"/>
      <c r="U307" s="81"/>
      <c r="V307" s="73"/>
      <c r="W307" s="14"/>
      <c r="X307" s="86"/>
      <c r="Y307" s="14"/>
      <c r="Z307" s="14"/>
      <c r="AA307" s="14"/>
      <c r="AB307" s="14"/>
    </row>
    <row r="308" spans="1:28" x14ac:dyDescent="0.25">
      <c r="A308" s="113"/>
      <c r="B308" s="137"/>
      <c r="C308" s="113"/>
      <c r="D308" s="137"/>
      <c r="E308" s="113"/>
      <c r="F308" s="128"/>
      <c r="G308" s="128"/>
      <c r="H308" s="143">
        <v>3</v>
      </c>
      <c r="I308" s="46" t="s">
        <v>455</v>
      </c>
      <c r="J308" s="83" t="s">
        <v>298</v>
      </c>
      <c r="K308" s="46"/>
      <c r="L308" s="46">
        <f t="shared" si="57"/>
        <v>24</v>
      </c>
      <c r="M308" s="46">
        <v>8</v>
      </c>
      <c r="N308" s="47"/>
      <c r="O308" s="14"/>
      <c r="P308" s="14"/>
      <c r="Q308" s="14"/>
      <c r="R308" s="81"/>
      <c r="S308" s="73"/>
      <c r="T308" s="80"/>
      <c r="U308" s="81"/>
      <c r="V308" s="73"/>
      <c r="W308" s="14"/>
      <c r="X308" s="86"/>
      <c r="Y308" s="14"/>
      <c r="Z308" s="14"/>
      <c r="AA308" s="14"/>
      <c r="AB308" s="14"/>
    </row>
    <row r="309" spans="1:28" x14ac:dyDescent="0.25">
      <c r="A309" s="113"/>
      <c r="B309" s="137"/>
      <c r="C309" s="113"/>
      <c r="D309" s="137"/>
      <c r="E309" s="113"/>
      <c r="F309" s="128"/>
      <c r="G309" s="128"/>
      <c r="H309" s="143">
        <v>4</v>
      </c>
      <c r="I309" s="46" t="s">
        <v>456</v>
      </c>
      <c r="J309" s="83" t="s">
        <v>298</v>
      </c>
      <c r="K309" s="46"/>
      <c r="L309" s="46">
        <f t="shared" si="57"/>
        <v>32</v>
      </c>
      <c r="M309" s="46">
        <v>8</v>
      </c>
      <c r="N309" s="47"/>
      <c r="O309" s="14"/>
      <c r="P309" s="14"/>
      <c r="Q309" s="14"/>
      <c r="R309" s="81"/>
      <c r="S309" s="73"/>
      <c r="T309" s="80"/>
      <c r="U309" s="81"/>
      <c r="V309" s="73"/>
      <c r="W309" s="14"/>
      <c r="X309" s="86"/>
      <c r="Y309" s="14"/>
      <c r="Z309" s="14"/>
      <c r="AA309" s="14"/>
      <c r="AB309" s="14"/>
    </row>
    <row r="310" spans="1:28" x14ac:dyDescent="0.25">
      <c r="A310" s="113"/>
      <c r="B310" s="137"/>
      <c r="C310" s="113"/>
      <c r="D310" s="137"/>
      <c r="E310" s="113"/>
      <c r="F310" s="128"/>
      <c r="G310" s="128"/>
      <c r="H310" s="143">
        <v>5</v>
      </c>
      <c r="I310" s="46" t="s">
        <v>475</v>
      </c>
      <c r="J310" s="83" t="s">
        <v>371</v>
      </c>
      <c r="K310" s="46"/>
      <c r="L310" s="46">
        <f t="shared" si="57"/>
        <v>40</v>
      </c>
      <c r="M310" s="46">
        <v>8</v>
      </c>
      <c r="N310" s="47"/>
      <c r="O310" s="14"/>
      <c r="P310" s="14"/>
      <c r="Q310" s="14"/>
      <c r="R310" s="81"/>
      <c r="S310" s="73"/>
      <c r="T310" s="80"/>
      <c r="U310" s="81"/>
      <c r="V310" s="73"/>
      <c r="W310" s="14"/>
      <c r="X310" s="86"/>
      <c r="Y310" s="14"/>
      <c r="Z310" s="14"/>
      <c r="AA310" s="14"/>
      <c r="AB310" s="14"/>
    </row>
    <row r="311" spans="1:28" x14ac:dyDescent="0.25">
      <c r="A311" s="113"/>
      <c r="B311" s="137"/>
      <c r="C311" s="113"/>
      <c r="D311" s="137"/>
      <c r="E311" s="113"/>
      <c r="F311" s="128"/>
      <c r="G311" s="128"/>
      <c r="H311" s="118">
        <v>6</v>
      </c>
      <c r="I311" s="46" t="s">
        <v>500</v>
      </c>
      <c r="J311" s="83" t="s">
        <v>487</v>
      </c>
      <c r="K311" s="46"/>
      <c r="L311" s="46">
        <f>L310+M310</f>
        <v>48</v>
      </c>
      <c r="M311" s="46">
        <v>6</v>
      </c>
      <c r="N311" s="47"/>
      <c r="O311" s="14"/>
      <c r="P311" s="14"/>
      <c r="Q311" s="14"/>
      <c r="R311" s="81"/>
      <c r="S311" s="87"/>
      <c r="T311" s="80"/>
      <c r="U311" s="81"/>
      <c r="V311" s="87"/>
      <c r="W311" s="14"/>
      <c r="X311" s="86"/>
      <c r="Y311" s="14"/>
      <c r="Z311" s="14"/>
      <c r="AA311" s="14"/>
      <c r="AB311" s="14"/>
    </row>
    <row r="312" spans="1:28" x14ac:dyDescent="0.25">
      <c r="A312" s="113"/>
      <c r="B312" s="137"/>
      <c r="C312" s="113"/>
      <c r="D312" s="137"/>
      <c r="E312" s="113"/>
      <c r="F312" s="128"/>
      <c r="G312" s="128"/>
      <c r="H312" s="126"/>
      <c r="I312" s="46" t="s">
        <v>457</v>
      </c>
      <c r="J312" s="83" t="s">
        <v>303</v>
      </c>
      <c r="K312" s="46"/>
      <c r="L312" s="46">
        <f>L311+M311</f>
        <v>54</v>
      </c>
      <c r="M312" s="46">
        <v>2</v>
      </c>
      <c r="N312" s="47"/>
      <c r="O312" s="14"/>
      <c r="P312" s="14"/>
      <c r="Q312" s="14"/>
      <c r="R312" s="81"/>
      <c r="S312" s="73"/>
      <c r="T312" s="80"/>
      <c r="U312" s="81"/>
      <c r="V312" s="73"/>
      <c r="W312" s="14"/>
      <c r="X312" s="86"/>
      <c r="Y312" s="14"/>
      <c r="Z312" s="14"/>
      <c r="AA312" s="14"/>
      <c r="AB312" s="14"/>
    </row>
    <row r="313" spans="1:28" ht="13.2" customHeight="1" x14ac:dyDescent="0.25">
      <c r="A313" s="119" t="s">
        <v>101</v>
      </c>
      <c r="B313" s="136" t="s">
        <v>484</v>
      </c>
      <c r="C313" s="119" t="str">
        <f>DEC2HEX(D313)</f>
        <v>43</v>
      </c>
      <c r="D313" s="136">
        <f t="shared" ref="D313" si="58">D305+1</f>
        <v>67</v>
      </c>
      <c r="E313" s="119">
        <v>7</v>
      </c>
      <c r="F313" s="127" t="s">
        <v>255</v>
      </c>
      <c r="G313" s="127" t="s">
        <v>242</v>
      </c>
      <c r="H313" s="92">
        <v>0</v>
      </c>
      <c r="I313" s="43" t="s">
        <v>458</v>
      </c>
      <c r="J313" s="82" t="s">
        <v>299</v>
      </c>
      <c r="K313" s="43"/>
      <c r="L313" s="43">
        <v>0</v>
      </c>
      <c r="M313" s="43">
        <v>8</v>
      </c>
      <c r="N313" s="45"/>
      <c r="O313" s="14"/>
      <c r="P313" s="14"/>
      <c r="Q313" s="14"/>
      <c r="R313" s="81"/>
      <c r="S313" s="73"/>
      <c r="T313" s="80"/>
      <c r="U313" s="81"/>
      <c r="V313" s="73"/>
      <c r="W313" s="14"/>
      <c r="X313" s="86"/>
      <c r="Y313" s="14"/>
      <c r="Z313" s="14"/>
      <c r="AA313" s="14"/>
      <c r="AB313" s="14"/>
    </row>
    <row r="314" spans="1:28" x14ac:dyDescent="0.25">
      <c r="A314" s="113"/>
      <c r="B314" s="137"/>
      <c r="C314" s="113"/>
      <c r="D314" s="137"/>
      <c r="E314" s="113"/>
      <c r="F314" s="128"/>
      <c r="G314" s="128"/>
      <c r="H314" s="88">
        <v>1</v>
      </c>
      <c r="I314" s="46" t="s">
        <v>459</v>
      </c>
      <c r="J314" s="83" t="s">
        <v>299</v>
      </c>
      <c r="K314" s="46"/>
      <c r="L314" s="46">
        <f>L313+M313</f>
        <v>8</v>
      </c>
      <c r="M314" s="46">
        <v>8</v>
      </c>
      <c r="N314" s="47"/>
      <c r="O314" s="14"/>
      <c r="P314" s="14"/>
      <c r="Q314" s="14"/>
      <c r="R314" s="81"/>
      <c r="S314" s="73"/>
      <c r="T314" s="80"/>
      <c r="U314" s="81"/>
      <c r="V314" s="73"/>
      <c r="W314" s="14"/>
      <c r="X314" s="86"/>
      <c r="Y314" s="14"/>
      <c r="Z314" s="14"/>
      <c r="AA314" s="14"/>
      <c r="AB314" s="14"/>
    </row>
    <row r="315" spans="1:28" x14ac:dyDescent="0.25">
      <c r="A315" s="113"/>
      <c r="B315" s="137"/>
      <c r="C315" s="113"/>
      <c r="D315" s="137"/>
      <c r="E315" s="113"/>
      <c r="F315" s="128"/>
      <c r="G315" s="128"/>
      <c r="H315" s="88">
        <v>2</v>
      </c>
      <c r="I315" s="46" t="s">
        <v>460</v>
      </c>
      <c r="J315" s="83" t="s">
        <v>371</v>
      </c>
      <c r="K315" s="46"/>
      <c r="L315" s="46">
        <f t="shared" ref="L315:L318" si="59">L314+M314</f>
        <v>16</v>
      </c>
      <c r="M315" s="46">
        <v>8</v>
      </c>
      <c r="N315" s="47"/>
      <c r="O315" s="14"/>
      <c r="P315" s="14"/>
      <c r="Q315" s="14"/>
      <c r="R315" s="81"/>
      <c r="S315" s="73"/>
      <c r="T315" s="80"/>
      <c r="U315" s="81"/>
      <c r="V315" s="73"/>
      <c r="W315" s="14"/>
      <c r="X315" s="86"/>
      <c r="Y315" s="14"/>
      <c r="Z315" s="14"/>
      <c r="AA315" s="14"/>
      <c r="AB315" s="14"/>
    </row>
    <row r="316" spans="1:28" x14ac:dyDescent="0.25">
      <c r="A316" s="113"/>
      <c r="B316" s="137"/>
      <c r="C316" s="113"/>
      <c r="D316" s="137"/>
      <c r="E316" s="113"/>
      <c r="F316" s="128"/>
      <c r="G316" s="128"/>
      <c r="H316" s="143">
        <v>3</v>
      </c>
      <c r="I316" s="46" t="s">
        <v>461</v>
      </c>
      <c r="J316" s="83" t="s">
        <v>298</v>
      </c>
      <c r="K316" s="46"/>
      <c r="L316" s="46">
        <f t="shared" si="59"/>
        <v>24</v>
      </c>
      <c r="M316" s="46">
        <v>8</v>
      </c>
      <c r="N316" s="47"/>
      <c r="O316" s="14"/>
      <c r="P316" s="14"/>
      <c r="Q316" s="14"/>
      <c r="R316" s="81"/>
      <c r="S316" s="73"/>
      <c r="T316" s="80"/>
      <c r="U316" s="81"/>
      <c r="V316" s="73"/>
      <c r="W316" s="14"/>
      <c r="X316" s="86"/>
      <c r="Y316" s="14"/>
      <c r="Z316" s="14"/>
      <c r="AA316" s="14"/>
      <c r="AB316" s="14"/>
    </row>
    <row r="317" spans="1:28" x14ac:dyDescent="0.25">
      <c r="A317" s="113"/>
      <c r="B317" s="137"/>
      <c r="C317" s="113"/>
      <c r="D317" s="137"/>
      <c r="E317" s="113"/>
      <c r="F317" s="128"/>
      <c r="G317" s="128"/>
      <c r="H317" s="143">
        <v>4</v>
      </c>
      <c r="I317" s="46" t="s">
        <v>462</v>
      </c>
      <c r="J317" s="83" t="s">
        <v>298</v>
      </c>
      <c r="K317" s="46"/>
      <c r="L317" s="46">
        <f t="shared" si="59"/>
        <v>32</v>
      </c>
      <c r="M317" s="46">
        <v>8</v>
      </c>
      <c r="N317" s="47"/>
      <c r="O317" s="14"/>
      <c r="P317" s="14"/>
      <c r="Q317" s="14"/>
      <c r="R317" s="81"/>
      <c r="S317" s="73"/>
      <c r="T317" s="80"/>
      <c r="U317" s="81"/>
      <c r="V317" s="73"/>
      <c r="W317" s="14"/>
      <c r="X317" s="86"/>
      <c r="Y317" s="14"/>
      <c r="Z317" s="14"/>
      <c r="AA317" s="14"/>
      <c r="AB317" s="14"/>
    </row>
    <row r="318" spans="1:28" x14ac:dyDescent="0.25">
      <c r="A318" s="113"/>
      <c r="B318" s="137"/>
      <c r="C318" s="113"/>
      <c r="D318" s="137"/>
      <c r="E318" s="113"/>
      <c r="F318" s="128"/>
      <c r="G318" s="128"/>
      <c r="H318" s="143">
        <v>5</v>
      </c>
      <c r="I318" s="46" t="s">
        <v>476</v>
      </c>
      <c r="J318" s="83" t="s">
        <v>371</v>
      </c>
      <c r="K318" s="46"/>
      <c r="L318" s="46">
        <f t="shared" si="59"/>
        <v>40</v>
      </c>
      <c r="M318" s="46">
        <v>8</v>
      </c>
      <c r="N318" s="47"/>
      <c r="O318" s="14"/>
      <c r="P318" s="14"/>
      <c r="Q318" s="14"/>
      <c r="R318" s="81"/>
      <c r="S318" s="73"/>
      <c r="T318" s="80"/>
      <c r="U318" s="81"/>
      <c r="V318" s="73"/>
      <c r="W318" s="14"/>
      <c r="X318" s="86"/>
      <c r="Y318" s="14"/>
      <c r="Z318" s="14"/>
      <c r="AA318" s="14"/>
      <c r="AB318" s="14"/>
    </row>
    <row r="319" spans="1:28" x14ac:dyDescent="0.25">
      <c r="A319" s="113"/>
      <c r="B319" s="137"/>
      <c r="C319" s="113"/>
      <c r="D319" s="137"/>
      <c r="E319" s="113"/>
      <c r="F319" s="128"/>
      <c r="G319" s="128"/>
      <c r="H319" s="118">
        <v>6</v>
      </c>
      <c r="I319" s="46" t="s">
        <v>501</v>
      </c>
      <c r="J319" s="83" t="s">
        <v>487</v>
      </c>
      <c r="K319" s="46"/>
      <c r="L319" s="46">
        <f>L318+M318</f>
        <v>48</v>
      </c>
      <c r="M319" s="46">
        <v>6</v>
      </c>
      <c r="N319" s="47"/>
      <c r="O319" s="14"/>
      <c r="P319" s="14"/>
      <c r="Q319" s="14"/>
      <c r="R319" s="81"/>
      <c r="S319" s="87"/>
      <c r="T319" s="80"/>
      <c r="U319" s="81"/>
      <c r="V319" s="87"/>
      <c r="W319" s="14"/>
      <c r="X319" s="86"/>
      <c r="Y319" s="14"/>
      <c r="Z319" s="14"/>
      <c r="AA319" s="14"/>
      <c r="AB319" s="14"/>
    </row>
    <row r="320" spans="1:28" x14ac:dyDescent="0.25">
      <c r="A320" s="113"/>
      <c r="B320" s="137"/>
      <c r="C320" s="113"/>
      <c r="D320" s="137"/>
      <c r="E320" s="113"/>
      <c r="F320" s="128"/>
      <c r="G320" s="128"/>
      <c r="H320" s="126"/>
      <c r="I320" s="46" t="s">
        <v>463</v>
      </c>
      <c r="J320" s="83" t="s">
        <v>303</v>
      </c>
      <c r="K320" s="46"/>
      <c r="L320" s="46">
        <f>L319+M319</f>
        <v>54</v>
      </c>
      <c r="M320" s="46">
        <v>2</v>
      </c>
      <c r="N320" s="47"/>
      <c r="O320" s="14"/>
      <c r="P320" s="14"/>
      <c r="Q320" s="14"/>
      <c r="R320" s="81"/>
      <c r="S320" s="73"/>
      <c r="T320" s="80"/>
      <c r="U320" s="81"/>
      <c r="V320" s="73"/>
      <c r="W320" s="14"/>
      <c r="X320" s="86"/>
      <c r="Y320" s="14"/>
      <c r="Z320" s="14"/>
      <c r="AA320" s="14"/>
      <c r="AB320" s="14"/>
    </row>
    <row r="321" spans="1:28" ht="13.2" customHeight="1" x14ac:dyDescent="0.25">
      <c r="A321" s="119" t="s">
        <v>101</v>
      </c>
      <c r="B321" s="139" t="s">
        <v>485</v>
      </c>
      <c r="C321" s="119" t="str">
        <f>DEC2HEX(D321)</f>
        <v>44</v>
      </c>
      <c r="D321" s="136">
        <f t="shared" ref="D321" si="60">D313+1</f>
        <v>68</v>
      </c>
      <c r="E321" s="119">
        <v>7</v>
      </c>
      <c r="F321" s="127" t="s">
        <v>255</v>
      </c>
      <c r="G321" s="127" t="s">
        <v>242</v>
      </c>
      <c r="H321" s="92">
        <v>0</v>
      </c>
      <c r="I321" s="43" t="s">
        <v>464</v>
      </c>
      <c r="J321" s="82" t="s">
        <v>299</v>
      </c>
      <c r="K321" s="43"/>
      <c r="L321" s="43">
        <v>0</v>
      </c>
      <c r="M321" s="43">
        <v>8</v>
      </c>
      <c r="N321" s="45"/>
      <c r="O321" s="14"/>
      <c r="P321" s="14"/>
      <c r="Q321" s="14"/>
      <c r="R321" s="81"/>
      <c r="S321" s="73"/>
      <c r="T321" s="80"/>
      <c r="U321" s="81"/>
      <c r="V321" s="73"/>
      <c r="W321" s="14"/>
      <c r="X321" s="86"/>
      <c r="Y321" s="14"/>
      <c r="Z321" s="14"/>
      <c r="AA321" s="14"/>
      <c r="AB321" s="14"/>
    </row>
    <row r="322" spans="1:28" x14ac:dyDescent="0.25">
      <c r="A322" s="113"/>
      <c r="B322" s="140"/>
      <c r="C322" s="113"/>
      <c r="D322" s="137"/>
      <c r="E322" s="113"/>
      <c r="F322" s="128"/>
      <c r="G322" s="128"/>
      <c r="H322" s="88">
        <v>1</v>
      </c>
      <c r="I322" s="46" t="s">
        <v>465</v>
      </c>
      <c r="J322" s="83" t="s">
        <v>299</v>
      </c>
      <c r="K322" s="46"/>
      <c r="L322" s="46">
        <f>L321+M321</f>
        <v>8</v>
      </c>
      <c r="M322" s="46">
        <v>8</v>
      </c>
      <c r="N322" s="47"/>
      <c r="O322" s="14"/>
      <c r="P322" s="14"/>
      <c r="Q322" s="14"/>
      <c r="R322" s="81"/>
      <c r="S322" s="73"/>
      <c r="T322" s="80"/>
      <c r="U322" s="81"/>
      <c r="V322" s="73"/>
      <c r="W322" s="14"/>
      <c r="X322" s="86"/>
      <c r="Y322" s="14"/>
      <c r="Z322" s="14"/>
      <c r="AA322" s="14"/>
      <c r="AB322" s="14"/>
    </row>
    <row r="323" spans="1:28" x14ac:dyDescent="0.25">
      <c r="A323" s="113"/>
      <c r="B323" s="140"/>
      <c r="C323" s="113"/>
      <c r="D323" s="137"/>
      <c r="E323" s="113"/>
      <c r="F323" s="128"/>
      <c r="G323" s="128"/>
      <c r="H323" s="88">
        <v>2</v>
      </c>
      <c r="I323" s="46" t="s">
        <v>466</v>
      </c>
      <c r="J323" s="83" t="s">
        <v>371</v>
      </c>
      <c r="K323" s="46"/>
      <c r="L323" s="46">
        <f t="shared" ref="L323:L326" si="61">L322+M322</f>
        <v>16</v>
      </c>
      <c r="M323" s="46">
        <v>8</v>
      </c>
      <c r="N323" s="47"/>
      <c r="O323" s="14"/>
      <c r="P323" s="14"/>
      <c r="Q323" s="14"/>
      <c r="R323" s="81"/>
      <c r="S323" s="73"/>
      <c r="T323" s="80"/>
      <c r="U323" s="81"/>
      <c r="V323" s="73"/>
      <c r="W323" s="14"/>
      <c r="X323" s="86"/>
      <c r="Y323" s="14"/>
      <c r="Z323" s="14"/>
      <c r="AA323" s="14"/>
      <c r="AB323" s="14"/>
    </row>
    <row r="324" spans="1:28" x14ac:dyDescent="0.25">
      <c r="A324" s="113"/>
      <c r="B324" s="140"/>
      <c r="C324" s="113"/>
      <c r="D324" s="137"/>
      <c r="E324" s="113"/>
      <c r="F324" s="128"/>
      <c r="G324" s="128"/>
      <c r="H324" s="143">
        <v>3</v>
      </c>
      <c r="I324" s="46" t="s">
        <v>467</v>
      </c>
      <c r="J324" s="83" t="s">
        <v>298</v>
      </c>
      <c r="K324" s="46"/>
      <c r="L324" s="46">
        <f t="shared" si="61"/>
        <v>24</v>
      </c>
      <c r="M324" s="46">
        <v>8</v>
      </c>
      <c r="N324" s="47"/>
      <c r="O324" s="14"/>
      <c r="P324" s="14"/>
      <c r="Q324" s="14"/>
      <c r="R324" s="81"/>
      <c r="S324" s="73"/>
      <c r="T324" s="80"/>
      <c r="U324" s="81"/>
      <c r="V324" s="73"/>
      <c r="W324" s="14"/>
      <c r="X324" s="86"/>
      <c r="Y324" s="14"/>
      <c r="Z324" s="14"/>
      <c r="AA324" s="14"/>
      <c r="AB324" s="14"/>
    </row>
    <row r="325" spans="1:28" x14ac:dyDescent="0.25">
      <c r="A325" s="113"/>
      <c r="B325" s="140"/>
      <c r="C325" s="113"/>
      <c r="D325" s="137"/>
      <c r="E325" s="113"/>
      <c r="F325" s="128"/>
      <c r="G325" s="128"/>
      <c r="H325" s="143">
        <v>4</v>
      </c>
      <c r="I325" s="46" t="s">
        <v>468</v>
      </c>
      <c r="J325" s="83" t="s">
        <v>298</v>
      </c>
      <c r="K325" s="46"/>
      <c r="L325" s="46">
        <f t="shared" si="61"/>
        <v>32</v>
      </c>
      <c r="M325" s="46">
        <v>8</v>
      </c>
      <c r="N325" s="47"/>
      <c r="O325" s="14"/>
      <c r="P325" s="14"/>
      <c r="Q325" s="14"/>
      <c r="R325" s="81"/>
      <c r="S325" s="73"/>
      <c r="T325" s="80"/>
      <c r="U325" s="81"/>
      <c r="V325" s="73"/>
      <c r="W325" s="14"/>
      <c r="X325" s="86"/>
      <c r="Y325" s="14"/>
      <c r="Z325" s="14"/>
      <c r="AA325" s="14"/>
      <c r="AB325" s="14"/>
    </row>
    <row r="326" spans="1:28" x14ac:dyDescent="0.25">
      <c r="A326" s="113"/>
      <c r="B326" s="140"/>
      <c r="C326" s="113"/>
      <c r="D326" s="137"/>
      <c r="E326" s="113"/>
      <c r="F326" s="128"/>
      <c r="G326" s="128"/>
      <c r="H326" s="143">
        <v>5</v>
      </c>
      <c r="I326" s="46" t="s">
        <v>477</v>
      </c>
      <c r="J326" s="83" t="s">
        <v>371</v>
      </c>
      <c r="K326" s="46"/>
      <c r="L326" s="46">
        <f t="shared" si="61"/>
        <v>40</v>
      </c>
      <c r="M326" s="46">
        <v>8</v>
      </c>
      <c r="N326" s="47"/>
      <c r="O326" s="14"/>
      <c r="P326" s="14"/>
      <c r="Q326" s="14"/>
      <c r="R326" s="81"/>
      <c r="S326" s="73"/>
      <c r="T326" s="80"/>
      <c r="U326" s="81"/>
      <c r="V326" s="73"/>
      <c r="W326" s="14"/>
      <c r="X326" s="86"/>
      <c r="Y326" s="14"/>
      <c r="Z326" s="14"/>
      <c r="AA326" s="14"/>
      <c r="AB326" s="14"/>
    </row>
    <row r="327" spans="1:28" x14ac:dyDescent="0.25">
      <c r="A327" s="113"/>
      <c r="B327" s="140"/>
      <c r="C327" s="113"/>
      <c r="D327" s="137"/>
      <c r="E327" s="113"/>
      <c r="F327" s="128"/>
      <c r="G327" s="128"/>
      <c r="H327" s="118">
        <v>6</v>
      </c>
      <c r="I327" s="46" t="s">
        <v>502</v>
      </c>
      <c r="J327" s="83" t="s">
        <v>487</v>
      </c>
      <c r="K327" s="46"/>
      <c r="L327" s="46">
        <f>L326+M326</f>
        <v>48</v>
      </c>
      <c r="M327" s="46">
        <v>6</v>
      </c>
      <c r="N327" s="47"/>
      <c r="O327" s="14"/>
      <c r="P327" s="14"/>
      <c r="Q327" s="14"/>
      <c r="R327" s="81"/>
      <c r="S327" s="87"/>
      <c r="T327" s="80"/>
      <c r="U327" s="81"/>
      <c r="V327" s="87"/>
      <c r="W327" s="14"/>
      <c r="X327" s="86"/>
      <c r="Y327" s="14"/>
      <c r="Z327" s="14"/>
      <c r="AA327" s="14"/>
      <c r="AB327" s="14"/>
    </row>
    <row r="328" spans="1:28" x14ac:dyDescent="0.25">
      <c r="A328" s="113"/>
      <c r="B328" s="141"/>
      <c r="C328" s="120"/>
      <c r="D328" s="138"/>
      <c r="E328" s="120"/>
      <c r="F328" s="129"/>
      <c r="G328" s="129"/>
      <c r="H328" s="126"/>
      <c r="I328" s="49" t="s">
        <v>469</v>
      </c>
      <c r="J328" s="84" t="s">
        <v>303</v>
      </c>
      <c r="K328" s="49"/>
      <c r="L328" s="49">
        <f>L327+M327</f>
        <v>54</v>
      </c>
      <c r="M328" s="49">
        <v>2</v>
      </c>
      <c r="N328" s="51"/>
      <c r="O328" s="14"/>
      <c r="P328" s="14"/>
      <c r="Q328" s="14"/>
      <c r="R328" s="81"/>
      <c r="S328" s="73"/>
      <c r="T328" s="80"/>
      <c r="U328" s="81"/>
      <c r="V328" s="73"/>
      <c r="W328" s="14"/>
      <c r="X328" s="86"/>
      <c r="Y328" s="14"/>
      <c r="Z328" s="14"/>
      <c r="AA328" s="14"/>
      <c r="AB328" s="14"/>
    </row>
    <row r="329" spans="1:28" x14ac:dyDescent="0.25">
      <c r="G329" s="144"/>
    </row>
    <row r="330" spans="1:28" x14ac:dyDescent="0.25">
      <c r="G330" s="144"/>
    </row>
  </sheetData>
  <mergeCells count="339">
    <mergeCell ref="A254:A259"/>
    <mergeCell ref="B254:B259"/>
    <mergeCell ref="C254:C259"/>
    <mergeCell ref="D254:D259"/>
    <mergeCell ref="E254:E259"/>
    <mergeCell ref="F254:F259"/>
    <mergeCell ref="G254:G259"/>
    <mergeCell ref="G236:G241"/>
    <mergeCell ref="A242:A247"/>
    <mergeCell ref="B242:B247"/>
    <mergeCell ref="C242:C247"/>
    <mergeCell ref="D242:D247"/>
    <mergeCell ref="E242:E247"/>
    <mergeCell ref="F242:F247"/>
    <mergeCell ref="G242:G247"/>
    <mergeCell ref="A248:A253"/>
    <mergeCell ref="B248:B253"/>
    <mergeCell ref="C248:C253"/>
    <mergeCell ref="D248:D253"/>
    <mergeCell ref="E248:E253"/>
    <mergeCell ref="F248:F253"/>
    <mergeCell ref="G248:G253"/>
    <mergeCell ref="G218:G223"/>
    <mergeCell ref="A224:A229"/>
    <mergeCell ref="B224:B229"/>
    <mergeCell ref="C224:C229"/>
    <mergeCell ref="D224:D229"/>
    <mergeCell ref="E224:E229"/>
    <mergeCell ref="F224:F229"/>
    <mergeCell ref="G224:G229"/>
    <mergeCell ref="A230:A235"/>
    <mergeCell ref="B230:B235"/>
    <mergeCell ref="C230:C235"/>
    <mergeCell ref="D230:D235"/>
    <mergeCell ref="E230:E235"/>
    <mergeCell ref="F230:F235"/>
    <mergeCell ref="G230:G235"/>
    <mergeCell ref="A212:A217"/>
    <mergeCell ref="B212:B217"/>
    <mergeCell ref="C212:C217"/>
    <mergeCell ref="D212:D217"/>
    <mergeCell ref="E212:E217"/>
    <mergeCell ref="F212:F217"/>
    <mergeCell ref="A218:A223"/>
    <mergeCell ref="B218:B223"/>
    <mergeCell ref="C218:C223"/>
    <mergeCell ref="D218:D223"/>
    <mergeCell ref="E218:E223"/>
    <mergeCell ref="F218:F223"/>
    <mergeCell ref="A236:A241"/>
    <mergeCell ref="B236:B241"/>
    <mergeCell ref="C236:C241"/>
    <mergeCell ref="D236:D241"/>
    <mergeCell ref="E236:E241"/>
    <mergeCell ref="F236:F241"/>
    <mergeCell ref="H279:H280"/>
    <mergeCell ref="H287:H288"/>
    <mergeCell ref="H295:H296"/>
    <mergeCell ref="H303:H304"/>
    <mergeCell ref="H311:H312"/>
    <mergeCell ref="H319:H320"/>
    <mergeCell ref="H327:H328"/>
    <mergeCell ref="G289:G296"/>
    <mergeCell ref="H170:H171"/>
    <mergeCell ref="H162:H163"/>
    <mergeCell ref="H154:H155"/>
    <mergeCell ref="H178:H179"/>
    <mergeCell ref="H186:H187"/>
    <mergeCell ref="H194:H195"/>
    <mergeCell ref="H202:H203"/>
    <mergeCell ref="H210:H211"/>
    <mergeCell ref="H271:H272"/>
    <mergeCell ref="B107:B110"/>
    <mergeCell ref="B111:B114"/>
    <mergeCell ref="B115:B118"/>
    <mergeCell ref="B119:B122"/>
    <mergeCell ref="B123:B126"/>
    <mergeCell ref="B127:B130"/>
    <mergeCell ref="B2:B25"/>
    <mergeCell ref="B26:B49"/>
    <mergeCell ref="B50:B73"/>
    <mergeCell ref="B74:B97"/>
    <mergeCell ref="B98:B102"/>
    <mergeCell ref="B103:B106"/>
    <mergeCell ref="B131:B134"/>
    <mergeCell ref="B136:B138"/>
    <mergeCell ref="B139:B141"/>
    <mergeCell ref="B142:B144"/>
    <mergeCell ref="B145:B147"/>
    <mergeCell ref="B148:B155"/>
    <mergeCell ref="E180:E187"/>
    <mergeCell ref="D180:D187"/>
    <mergeCell ref="C180:C187"/>
    <mergeCell ref="C145:C147"/>
    <mergeCell ref="D145:D147"/>
    <mergeCell ref="E145:E147"/>
    <mergeCell ref="C136:C138"/>
    <mergeCell ref="D136:D138"/>
    <mergeCell ref="H2:H9"/>
    <mergeCell ref="H10:H13"/>
    <mergeCell ref="H14:H21"/>
    <mergeCell ref="H22:H25"/>
    <mergeCell ref="B196:B203"/>
    <mergeCell ref="F196:F203"/>
    <mergeCell ref="G196:G203"/>
    <mergeCell ref="B204:B211"/>
    <mergeCell ref="F204:F211"/>
    <mergeCell ref="G204:G211"/>
    <mergeCell ref="C204:C211"/>
    <mergeCell ref="D204:D211"/>
    <mergeCell ref="F188:F195"/>
    <mergeCell ref="G188:G195"/>
    <mergeCell ref="F172:F179"/>
    <mergeCell ref="G172:G179"/>
    <mergeCell ref="B180:B187"/>
    <mergeCell ref="F180:F187"/>
    <mergeCell ref="G180:G187"/>
    <mergeCell ref="B164:B171"/>
    <mergeCell ref="F164:F171"/>
    <mergeCell ref="G164:G171"/>
    <mergeCell ref="C148:C155"/>
    <mergeCell ref="D148:D155"/>
    <mergeCell ref="H62:H69"/>
    <mergeCell ref="H70:H73"/>
    <mergeCell ref="H74:H81"/>
    <mergeCell ref="H82:H85"/>
    <mergeCell ref="H86:H93"/>
    <mergeCell ref="H94:H97"/>
    <mergeCell ref="H38:H45"/>
    <mergeCell ref="H46:H49"/>
    <mergeCell ref="H26:H33"/>
    <mergeCell ref="H34:H37"/>
    <mergeCell ref="H50:H57"/>
    <mergeCell ref="H58:H61"/>
    <mergeCell ref="E74:E97"/>
    <mergeCell ref="D2:D25"/>
    <mergeCell ref="C2:C25"/>
    <mergeCell ref="C74:C97"/>
    <mergeCell ref="D74:D97"/>
    <mergeCell ref="F2:F25"/>
    <mergeCell ref="G2:G25"/>
    <mergeCell ref="F26:F49"/>
    <mergeCell ref="F50:F73"/>
    <mergeCell ref="F74:F97"/>
    <mergeCell ref="G26:G49"/>
    <mergeCell ref="G50:G73"/>
    <mergeCell ref="G74:G97"/>
    <mergeCell ref="A2:A25"/>
    <mergeCell ref="A26:A49"/>
    <mergeCell ref="C26:C49"/>
    <mergeCell ref="D26:D49"/>
    <mergeCell ref="C50:C73"/>
    <mergeCell ref="D50:D73"/>
    <mergeCell ref="A50:A73"/>
    <mergeCell ref="E2:E25"/>
    <mergeCell ref="E26:E49"/>
    <mergeCell ref="E50:E73"/>
    <mergeCell ref="G103:G106"/>
    <mergeCell ref="C107:C110"/>
    <mergeCell ref="D107:D110"/>
    <mergeCell ref="E107:E110"/>
    <mergeCell ref="F107:F110"/>
    <mergeCell ref="G107:G110"/>
    <mergeCell ref="C98:C102"/>
    <mergeCell ref="D98:D102"/>
    <mergeCell ref="E98:E102"/>
    <mergeCell ref="F98:F102"/>
    <mergeCell ref="G98:G102"/>
    <mergeCell ref="C103:C106"/>
    <mergeCell ref="D103:D106"/>
    <mergeCell ref="E103:E106"/>
    <mergeCell ref="F103:F106"/>
    <mergeCell ref="C111:C114"/>
    <mergeCell ref="D111:D114"/>
    <mergeCell ref="E111:E114"/>
    <mergeCell ref="F111:F114"/>
    <mergeCell ref="G111:G114"/>
    <mergeCell ref="C115:C118"/>
    <mergeCell ref="D115:D118"/>
    <mergeCell ref="E115:E118"/>
    <mergeCell ref="F115:F118"/>
    <mergeCell ref="G115:G118"/>
    <mergeCell ref="C119:C122"/>
    <mergeCell ref="D119:D122"/>
    <mergeCell ref="E119:E122"/>
    <mergeCell ref="F119:F122"/>
    <mergeCell ref="G119:G122"/>
    <mergeCell ref="C123:C126"/>
    <mergeCell ref="D123:D126"/>
    <mergeCell ref="E123:E126"/>
    <mergeCell ref="F123:F126"/>
    <mergeCell ref="G123:G126"/>
    <mergeCell ref="C127:C130"/>
    <mergeCell ref="D127:D130"/>
    <mergeCell ref="E127:E130"/>
    <mergeCell ref="F127:F130"/>
    <mergeCell ref="G127:G130"/>
    <mergeCell ref="C131:C134"/>
    <mergeCell ref="D131:D134"/>
    <mergeCell ref="E131:E134"/>
    <mergeCell ref="F131:F134"/>
    <mergeCell ref="G131:G134"/>
    <mergeCell ref="E136:E138"/>
    <mergeCell ref="F136:F138"/>
    <mergeCell ref="G136:G138"/>
    <mergeCell ref="C139:C141"/>
    <mergeCell ref="D139:D141"/>
    <mergeCell ref="E139:E141"/>
    <mergeCell ref="F139:F141"/>
    <mergeCell ref="G139:G141"/>
    <mergeCell ref="B260:B262"/>
    <mergeCell ref="D260:D262"/>
    <mergeCell ref="F260:F262"/>
    <mergeCell ref="G260:G262"/>
    <mergeCell ref="E260:E262"/>
    <mergeCell ref="E204:E211"/>
    <mergeCell ref="C260:C262"/>
    <mergeCell ref="C188:C195"/>
    <mergeCell ref="D188:D195"/>
    <mergeCell ref="E188:E195"/>
    <mergeCell ref="C196:C203"/>
    <mergeCell ref="D196:D203"/>
    <mergeCell ref="E196:E203"/>
    <mergeCell ref="E148:E155"/>
    <mergeCell ref="C156:C163"/>
    <mergeCell ref="F148:F155"/>
    <mergeCell ref="H261:H262"/>
    <mergeCell ref="H137:H138"/>
    <mergeCell ref="H140:H141"/>
    <mergeCell ref="H143:H144"/>
    <mergeCell ref="H146:H147"/>
    <mergeCell ref="H98:H102"/>
    <mergeCell ref="C263:C264"/>
    <mergeCell ref="D263:D264"/>
    <mergeCell ref="E263:E264"/>
    <mergeCell ref="F263:F264"/>
    <mergeCell ref="G263:G264"/>
    <mergeCell ref="D156:D163"/>
    <mergeCell ref="E156:E163"/>
    <mergeCell ref="C164:C171"/>
    <mergeCell ref="D164:D171"/>
    <mergeCell ref="E164:E171"/>
    <mergeCell ref="C172:C179"/>
    <mergeCell ref="D172:D179"/>
    <mergeCell ref="E172:E179"/>
    <mergeCell ref="C142:C144"/>
    <mergeCell ref="D142:D144"/>
    <mergeCell ref="E142:E144"/>
    <mergeCell ref="F142:F144"/>
    <mergeCell ref="G142:G144"/>
    <mergeCell ref="A119:A122"/>
    <mergeCell ref="A123:A126"/>
    <mergeCell ref="A127:A130"/>
    <mergeCell ref="A131:A134"/>
    <mergeCell ref="A136:A138"/>
    <mergeCell ref="A139:A141"/>
    <mergeCell ref="A74:A97"/>
    <mergeCell ref="A98:A102"/>
    <mergeCell ref="A103:A106"/>
    <mergeCell ref="A107:A110"/>
    <mergeCell ref="A111:A114"/>
    <mergeCell ref="A115:A118"/>
    <mergeCell ref="G265:G272"/>
    <mergeCell ref="G273:G280"/>
    <mergeCell ref="A180:A187"/>
    <mergeCell ref="A188:A195"/>
    <mergeCell ref="A196:A203"/>
    <mergeCell ref="A204:A211"/>
    <mergeCell ref="A260:A262"/>
    <mergeCell ref="A263:A264"/>
    <mergeCell ref="A142:A144"/>
    <mergeCell ref="A145:A147"/>
    <mergeCell ref="A148:A155"/>
    <mergeCell ref="A156:A163"/>
    <mergeCell ref="A164:A171"/>
    <mergeCell ref="A172:A179"/>
    <mergeCell ref="B263:B264"/>
    <mergeCell ref="G148:G155"/>
    <mergeCell ref="B156:B163"/>
    <mergeCell ref="F156:F163"/>
    <mergeCell ref="G156:G163"/>
    <mergeCell ref="B172:B179"/>
    <mergeCell ref="B188:B195"/>
    <mergeCell ref="F145:F147"/>
    <mergeCell ref="G145:G147"/>
    <mergeCell ref="G212:G217"/>
    <mergeCell ref="A265:A272"/>
    <mergeCell ref="B265:B272"/>
    <mergeCell ref="C265:C272"/>
    <mergeCell ref="D265:D272"/>
    <mergeCell ref="E265:E272"/>
    <mergeCell ref="F265:F272"/>
    <mergeCell ref="A273:A280"/>
    <mergeCell ref="B273:B280"/>
    <mergeCell ref="C273:C280"/>
    <mergeCell ref="D273:D280"/>
    <mergeCell ref="E273:E280"/>
    <mergeCell ref="F273:F280"/>
    <mergeCell ref="B305:B312"/>
    <mergeCell ref="C305:C312"/>
    <mergeCell ref="D305:D312"/>
    <mergeCell ref="E305:E312"/>
    <mergeCell ref="F305:F312"/>
    <mergeCell ref="A281:A288"/>
    <mergeCell ref="B281:B288"/>
    <mergeCell ref="C281:C288"/>
    <mergeCell ref="D281:D288"/>
    <mergeCell ref="E281:E288"/>
    <mergeCell ref="F281:F288"/>
    <mergeCell ref="A289:A296"/>
    <mergeCell ref="B289:B296"/>
    <mergeCell ref="C289:C296"/>
    <mergeCell ref="D289:D296"/>
    <mergeCell ref="E289:E296"/>
    <mergeCell ref="F289:F296"/>
    <mergeCell ref="G281:G288"/>
    <mergeCell ref="G297:G304"/>
    <mergeCell ref="G305:G312"/>
    <mergeCell ref="G313:G320"/>
    <mergeCell ref="G321:G328"/>
    <mergeCell ref="A313:A320"/>
    <mergeCell ref="B313:B320"/>
    <mergeCell ref="C313:C320"/>
    <mergeCell ref="D313:D320"/>
    <mergeCell ref="E313:E320"/>
    <mergeCell ref="F313:F320"/>
    <mergeCell ref="A321:A328"/>
    <mergeCell ref="B321:B328"/>
    <mergeCell ref="C321:C328"/>
    <mergeCell ref="D321:D328"/>
    <mergeCell ref="E321:E328"/>
    <mergeCell ref="F321:F328"/>
    <mergeCell ref="A297:A304"/>
    <mergeCell ref="B297:B304"/>
    <mergeCell ref="C297:C304"/>
    <mergeCell ref="D297:D304"/>
    <mergeCell ref="E297:E304"/>
    <mergeCell ref="F297:F304"/>
    <mergeCell ref="A305:A3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v1</vt:lpstr>
      <vt:lpstr>v2</vt:lpstr>
      <vt:lpstr>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Carmen Unió</cp:lastModifiedBy>
  <dcterms:created xsi:type="dcterms:W3CDTF">2024-10-18T22:53:30Z</dcterms:created>
  <dcterms:modified xsi:type="dcterms:W3CDTF">2024-11-15T12:53:48Z</dcterms:modified>
</cp:coreProperties>
</file>